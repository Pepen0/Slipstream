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8" windowWidth="16098" windowHeight="9660" activeTab="1"/>
  </bookViews>
  <sheets>
    <sheet name="Template" sheetId="1" r:id="rId1"/>
    <sheet name="Feuil1" sheetId="2" r:id="rId2"/>
    <sheet name="Feuil2" sheetId="3" r:id="rId3"/>
    <sheet name="Feuil3" sheetId="4" r:id="rId4"/>
    <sheet name="Feuil4" sheetId="5" r:id="rId5"/>
  </sheets>
  <calcPr calcId="145621"/>
</workbook>
</file>

<file path=xl/calcChain.xml><?xml version="1.0" encoding="utf-8"?>
<calcChain xmlns="http://schemas.openxmlformats.org/spreadsheetml/2006/main">
  <c r="B40" i="4" l="1"/>
  <c r="B22" i="1" l="1"/>
  <c r="B44" i="1" s="1"/>
  <c r="B45" i="5"/>
  <c r="B45" i="4"/>
  <c r="B45" i="3"/>
  <c r="B45" i="2"/>
  <c r="B19" i="5"/>
  <c r="B50" i="5" s="1"/>
  <c r="B51" i="5" s="1"/>
  <c r="B48" i="5"/>
  <c r="B49" i="5" s="1"/>
  <c r="B40" i="5"/>
  <c r="B25" i="5"/>
  <c r="B26" i="5" s="1"/>
  <c r="B23" i="5"/>
  <c r="B24" i="5" s="1"/>
  <c r="B50" i="4"/>
  <c r="B51" i="4" s="1"/>
  <c r="B48" i="4"/>
  <c r="B49" i="4" s="1"/>
  <c r="B25" i="4"/>
  <c r="B26" i="4" s="1"/>
  <c r="B23" i="4"/>
  <c r="B24" i="4" s="1"/>
  <c r="B50" i="3"/>
  <c r="B51" i="3" s="1"/>
  <c r="B48" i="3"/>
  <c r="B49" i="3" s="1"/>
  <c r="B40" i="3"/>
  <c r="B25" i="3"/>
  <c r="B26" i="3" s="1"/>
  <c r="B23" i="3"/>
  <c r="B24" i="3" s="1"/>
  <c r="B50" i="2"/>
  <c r="B51" i="2" s="1"/>
  <c r="B48" i="2"/>
  <c r="B49" i="2" s="1"/>
  <c r="B40" i="2"/>
  <c r="B25" i="2"/>
  <c r="B26" i="2" s="1"/>
  <c r="B23" i="2"/>
  <c r="B24" i="2" s="1"/>
  <c r="B49" i="1"/>
  <c r="B50" i="1" s="1"/>
  <c r="B47" i="1"/>
  <c r="B48" i="1" s="1"/>
  <c r="B39" i="1"/>
  <c r="B24" i="1"/>
  <c r="B25" i="1" s="1"/>
  <c r="B30" i="5" l="1"/>
  <c r="B29" i="5"/>
  <c r="B30" i="4"/>
  <c r="B29" i="4"/>
  <c r="B30" i="3"/>
  <c r="B29" i="3"/>
  <c r="B23" i="1"/>
  <c r="B28" i="1" s="1"/>
  <c r="B40" i="1" s="1"/>
  <c r="B41" i="1" s="1"/>
  <c r="B30" i="2"/>
  <c r="B29" i="2"/>
  <c r="B46" i="5" l="1"/>
  <c r="B47" i="5" s="1"/>
  <c r="B35" i="5"/>
  <c r="B37" i="5" s="1"/>
  <c r="B31" i="5"/>
  <c r="B41" i="5"/>
  <c r="B42" i="5" s="1"/>
  <c r="B36" i="5"/>
  <c r="B32" i="5"/>
  <c r="B46" i="4"/>
  <c r="B47" i="4" s="1"/>
  <c r="B35" i="4"/>
  <c r="B37" i="4" s="1"/>
  <c r="B31" i="4"/>
  <c r="B41" i="4"/>
  <c r="B42" i="4" s="1"/>
  <c r="B36" i="4"/>
  <c r="B32" i="4"/>
  <c r="B46" i="3"/>
  <c r="B47" i="3" s="1"/>
  <c r="B46" i="2"/>
  <c r="B47" i="2" s="1"/>
  <c r="B35" i="3"/>
  <c r="B37" i="3" s="1"/>
  <c r="B31" i="3"/>
  <c r="B41" i="3"/>
  <c r="B42" i="3" s="1"/>
  <c r="B36" i="3"/>
  <c r="B32" i="3"/>
  <c r="B29" i="1"/>
  <c r="B35" i="1" s="1"/>
  <c r="B45" i="1"/>
  <c r="B46" i="1" s="1"/>
  <c r="B34" i="1"/>
  <c r="B36" i="1" s="1"/>
  <c r="B30" i="1"/>
  <c r="B31" i="2"/>
  <c r="B35" i="2"/>
  <c r="B37" i="2" s="1"/>
  <c r="B41" i="2"/>
  <c r="B42" i="2" s="1"/>
  <c r="B32" i="2"/>
  <c r="B36" i="2"/>
  <c r="B31" i="1" l="1"/>
</calcChain>
</file>

<file path=xl/sharedStrings.xml><?xml version="1.0" encoding="utf-8"?>
<sst xmlns="http://schemas.openxmlformats.org/spreadsheetml/2006/main" count="482" uniqueCount="123">
  <si>
    <t>Parameter</t>
  </si>
  <si>
    <t>Value</t>
  </si>
  <si>
    <t>Unit / Notes</t>
  </si>
  <si>
    <t>Computed/Notes</t>
  </si>
  <si>
    <t>Bus voltage (Vdc)</t>
  </si>
  <si>
    <t>V</t>
  </si>
  <si>
    <t>Torque constant kT (Nm/A) [leave blank if using Kv]</t>
  </si>
  <si>
    <t>N·m/A</t>
  </si>
  <si>
    <t>If known, enter here</t>
  </si>
  <si>
    <t>Speed constant Kv (rpm/V) [optional]</t>
  </si>
  <si>
    <t>rpm/V</t>
  </si>
  <si>
    <t>If kT blank, Ke = 60/(2πKv), kT = Ke</t>
  </si>
  <si>
    <t>Phase resistance Rs</t>
  </si>
  <si>
    <t>Ω</t>
  </si>
  <si>
    <t>Phase inductance L</t>
  </si>
  <si>
    <t>H</t>
  </si>
  <si>
    <t>Per-phase L (≈Ld)</t>
  </si>
  <si>
    <t>Pole pairs p</t>
  </si>
  <si>
    <t>Hoverboard hubs often 5–15</t>
  </si>
  <si>
    <t>Continuous current rating (motor)</t>
  </si>
  <si>
    <t>A</t>
  </si>
  <si>
    <t>Peak current rating (motor)</t>
  </si>
  <si>
    <t>Target torque (continuous)</t>
  </si>
  <si>
    <t>N·m</t>
  </si>
  <si>
    <t>Target torque (peak)</t>
  </si>
  <si>
    <t>Max mechanical speed to check</t>
  </si>
  <si>
    <t>rpm</t>
  </si>
  <si>
    <t>Snap-back check speed</t>
  </si>
  <si>
    <t>Switching frequency f_sw</t>
  </si>
  <si>
    <t>Hz</t>
  </si>
  <si>
    <t>Brake trip voltage (Vtrip)</t>
  </si>
  <si>
    <t>Brake current limit</t>
  </si>
  <si>
    <t>Bus capacitance C</t>
  </si>
  <si>
    <t>µF</t>
  </si>
  <si>
    <t>Total DC-link capacitance</t>
  </si>
  <si>
    <t>Total inertia J</t>
  </si>
  <si>
    <t>kg·m²</t>
  </si>
  <si>
    <t>Rotor + wheel + adapters</t>
  </si>
  <si>
    <t>Encoder CPR (lines x4)</t>
  </si>
  <si>
    <t>counts/rev</t>
  </si>
  <si>
    <t>Back-EMF Ke (V·s/rad) from Kv</t>
  </si>
  <si>
    <t>kT used (Nm/A)</t>
  </si>
  <si>
    <t>Electrical time constant tau_e (s)</t>
  </si>
  <si>
    <t>Recommended min PWM (10x corner) (Hz)</t>
  </si>
  <si>
    <t>Iq for continuous torque (A)</t>
  </si>
  <si>
    <t>Iq for peak torque (A)</t>
  </si>
  <si>
    <t>Pass current (continuous)</t>
  </si>
  <si>
    <t>Pass current (peak)</t>
  </si>
  <si>
    <t>Copper loss Pcu @ continuous (W)</t>
  </si>
  <si>
    <t>Copper loss Pcu @ peak (W)</t>
  </si>
  <si>
    <t>PSU avg current @ continuous (A)</t>
  </si>
  <si>
    <t>Current ripple ΔI (A)</t>
  </si>
  <si>
    <t>Ripple as % of Iq_cont</t>
  </si>
  <si>
    <t>Comment (ripple ≤ 10–20% ideal)</t>
  </si>
  <si>
    <t>Back-EMF E at max speed (approx V_LL,rms)</t>
  </si>
  <si>
    <t>Required V ≈ E + Iq_cont*Rs</t>
  </si>
  <si>
    <t>Bus margin (Vdc - Vreq)</t>
  </si>
  <si>
    <t>Brake resistor R &gt;= (Vtrip - Vdc)/Ibr</t>
  </si>
  <si>
    <t>Brake inst. power when on (W)</t>
  </si>
  <si>
    <t>Kinetic energy at speed  (J)</t>
  </si>
  <si>
    <t>Bus V after dump ≈ sqrt(Vdc^2 + 2E/C)</t>
  </si>
  <si>
    <t>Typical values</t>
  </si>
  <si>
    <t>Rs</t>
  </si>
  <si>
    <t>Min</t>
  </si>
  <si>
    <t>ave</t>
  </si>
  <si>
    <t>max</t>
  </si>
  <si>
    <t>Ld, Lq</t>
  </si>
  <si>
    <t>kT</t>
  </si>
  <si>
    <t xml:space="preserve"> mH</t>
  </si>
  <si>
    <t>ohms</t>
  </si>
  <si>
    <t>Nm/A</t>
  </si>
  <si>
    <t>DERIVED CONSTANTS</t>
  </si>
  <si>
    <t>TORQUE / CURRENT</t>
  </si>
  <si>
    <t>LOSSES / THERMAL (stall)</t>
  </si>
  <si>
    <t xml:space="preserve">RIPPLE &amp; PWM </t>
  </si>
  <si>
    <t>VOLTAGE / BRAKE / ENERGY</t>
  </si>
  <si>
    <t>China ZLTECH 6.5inch 24V-48V 250W 100kg BLDC rubber wheel hub motor for medical robot Manufacturer and Supplier | Zhongling</t>
  </si>
  <si>
    <t>China Factory directly 36v Amr Brushless Hub Motor - ZLTECH 6.5inch 24-48VDC 350W Wheel hub motor for robot – ZhongLing Manufacturer and Supplier | Zhongling</t>
  </si>
  <si>
    <r>
      <t xml:space="preserve">6 N·m at 6 A ⇒ </t>
    </r>
    <r>
      <rPr>
        <b/>
        <sz val="11"/>
        <color theme="1"/>
        <rFont val="Calibri"/>
        <family val="2"/>
        <scheme val="minor"/>
      </rPr>
      <t>kT ≈ 1.0 N·m/A</t>
    </r>
  </si>
  <si>
    <r>
      <t>no-load speed</t>
    </r>
    <r>
      <rPr>
        <sz val="11"/>
        <color theme="1"/>
        <rFont val="Calibri"/>
        <family val="2"/>
        <scheme val="minor"/>
      </rPr>
      <t xml:space="preserve"> 205 rpm @ 24 V → </t>
    </r>
    <r>
      <rPr>
        <b/>
        <sz val="11"/>
        <color theme="1"/>
        <rFont val="Calibri"/>
        <family val="2"/>
        <scheme val="minor"/>
      </rPr>
      <t>Kv ≈ 8.54 rpm/V</t>
    </r>
    <r>
      <rPr>
        <sz val="11"/>
        <color theme="1"/>
        <rFont val="Calibri"/>
        <family val="2"/>
        <scheme val="minor"/>
      </rPr>
      <t xml:space="preserve"> → Ke=60/(2πKv)≈1.12K_e = 60/(2πKv) ≈ 1.12Ke​=60/(2πKv)≈1.12 → </t>
    </r>
    <r>
      <rPr>
        <b/>
        <sz val="11"/>
        <color theme="1"/>
        <rFont val="Calibri"/>
        <family val="2"/>
        <scheme val="minor"/>
      </rPr>
      <t>kT ≈ 1.12 N·m/A</t>
    </r>
    <r>
      <rPr>
        <sz val="11"/>
        <color theme="1"/>
        <rFont val="Calibri"/>
        <family val="2"/>
        <scheme val="minor"/>
      </rPr>
      <t>.</t>
    </r>
  </si>
  <si>
    <t>Per-phase (Y). If measured line-line, Rs = R_LL/2</t>
  </si>
  <si>
    <t>J≈1/2 ​mr^2≈0.5⋅3.75⋅0.0825^2≈0.013</t>
  </si>
  <si>
    <t>560 rpm / 24 V = 23.3</t>
  </si>
  <si>
    <t>6.5 inch hub motor_with encoder_high torque_low speed- uumotor</t>
  </si>
  <si>
    <t>Online shop for high precise drive systems by maxon | maxon group</t>
  </si>
  <si>
    <t>(just the motor, lots of given info though)</t>
  </si>
  <si>
    <t>how much voltage the motor generates per unit speed = how fast the back-EMF rises as the motor spins</t>
  </si>
  <si>
    <t>larger Ke means more torque per amp but lower top speed. For FFB wheel (low speed), higher Ke​ (≈0.5–1.0 V·s/rad) is good because it gives strong torque at modest current.</t>
  </si>
  <si>
    <t>how much torque the motor produces per ampere</t>
  </si>
  <si>
    <t>Directly sets torque per amp. Higher is better for FFB (want strong torque with small currents). If kT&lt;0.3N⋅m/A, will need high current for 5 Nm</t>
  </si>
  <si>
    <t>The speed of current response inside the motor. How quickly current (=torque) can change</t>
  </si>
  <si>
    <t>A smaller τe​ = faster torque response. But if it’s too small,  PWM frequency must be high to keep current ripple low.  0.5–3 ms is ideal.</t>
  </si>
  <si>
    <t>minimum PWM frequency to keep current control smooth (10× the current corner frequency)</t>
  </si>
  <si>
    <t>The drive’s PWM should exceed this value. You want ≥ 10 kHz; 20–25 kHz is quiet and efficient.</t>
  </si>
  <si>
    <t>The required torque-producing current to deliver steady-state target torque. Iq=T/kT</t>
  </si>
  <si>
    <t>below the motor’s continuous current rating, otherwise it will overheat</t>
  </si>
  <si>
    <t>The current needed for short bursts of torque (steering hits, bumps).</t>
  </si>
  <si>
    <t>Should be ≤ motor’s peak rating and within inverter limit. If higher, driver may saturate or trip.</t>
  </si>
  <si>
    <t>Power dissipated as heat in the windings (main heating term)</t>
  </si>
  <si>
    <t>heat generated during normal and burst operation</t>
  </si>
  <si>
    <t>Continuous &lt; ≈ 60 W → fine for 6.5″ hubs</t>
  </si>
  <si>
    <t>Peak can be &gt; 100 W if short</t>
  </si>
  <si>
    <t>Average DC-bus current drawn at stall or low speed. I=Pcu/Vdc</t>
  </si>
  <si>
    <t>Helps size  power supply and fuse. example 30 W / 36 V ≈ 0.8 A average even if phase currents are large</t>
  </si>
  <si>
    <t>peak-to-peak current variation caused by PWM switching and winding inductance</t>
  </si>
  <si>
    <t>Too much ripple causes torque noise and heating. Lower is smoother</t>
  </si>
  <si>
    <t>generated voltage (line-to-line RMS) when the motor spins at its top mechanical speed</t>
  </si>
  <si>
    <t>Should be below bus voltage so the inverter can still apply current. If E ≈ Vdc, you lose torque at high speed</t>
  </si>
  <si>
    <t>actual voltage needed to drive your target torque at speed</t>
  </si>
  <si>
    <t>Must be less than bus voltage with some margin (≥ 10–20 %)</t>
  </si>
  <si>
    <t>Positive margin = safe. Negative = insufficient voltage; can’t reach desired torque at that speed</t>
  </si>
  <si>
    <t>Minimum safe value for the dump resistor used to absorb regen energy when the wheel snaps back</t>
  </si>
  <si>
    <t>Choose a standard resistor ≥ this value</t>
  </si>
  <si>
    <t>Instantaneous dissipation in the resistor when active</t>
  </si>
  <si>
    <t>to select resistor power rating</t>
  </si>
  <si>
    <t>Energy stored in the rotating wheel and rotor at a given speed.</t>
  </si>
  <si>
    <t>estimate how much energy will dump into the DC bus during a fast stop</t>
  </si>
  <si>
    <t>Approximate DC-bus overshoot if the energy goes into the bulk capacitor only</t>
  </si>
  <si>
    <t>Purchase link:</t>
  </si>
  <si>
    <t>Zltech 6.5inch 24v 48v 350w 6n.m 150kg High Load Ce Rohs Electric Wheel Brushless Dc Hub Servo Motor With Encoder For Robot Amr - Buy Zltech Hub Motor 24v 350w Hub Servo Motor hub Servo Motor With Built-in Encoder Product on Alibaba.com</t>
  </si>
  <si>
    <t xml:space="preserve">INPUTS </t>
  </si>
  <si>
    <t>INPUTS</t>
  </si>
  <si>
    <t>Should stay below capacitor voltage rating.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</si>
</sst>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8F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baba.com/product-detail/ZLTECH-6-5inch-24V-48V-350W_1600500466622.html" TargetMode="External"/><Relationship Id="rId1" Type="http://schemas.openxmlformats.org/officeDocument/2006/relationships/hyperlink" Target="https://www.robotmotor.com/factory-directly-36v-amr-brushless-hub-motor-zltech-6-5inch-24-48vdc-350w-wheel-hub-motor-for-robot-zhongling-product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obotmotor.com/zltech-6-5inch-24v-48v-250w-100kg-bldc-rubber-wheel-hub-motor-for-medical-robot-product/?utm_source=chatgp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umotor.com/6-5-inch-180kg-load-servo-hub-motor.html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xongroup.com/maxon/view/product/motor/ecmotor/EC-i/516068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>
      <selection activeCell="D54" sqref="D54"/>
    </sheetView>
  </sheetViews>
  <sheetFormatPr baseColWidth="10" defaultColWidth="8.83984375" defaultRowHeight="14.4" x14ac:dyDescent="0.55000000000000004"/>
  <cols>
    <col min="1" max="1" width="41.47265625" customWidth="1"/>
    <col min="2" max="2" width="11.20703125" customWidth="1"/>
    <col min="3" max="3" width="18.68359375" customWidth="1"/>
    <col min="4" max="4" width="43.15625" customWidth="1"/>
    <col min="5" max="5" width="45.62890625" customWidth="1"/>
    <col min="6" max="6" width="12.20703125" customWidth="1"/>
  </cols>
  <sheetData>
    <row r="1" spans="1:1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1" t="s">
        <v>61</v>
      </c>
      <c r="G1" s="1" t="s">
        <v>63</v>
      </c>
      <c r="H1" s="1" t="s">
        <v>64</v>
      </c>
      <c r="I1" s="1" t="s">
        <v>65</v>
      </c>
    </row>
    <row r="2" spans="1:10" x14ac:dyDescent="0.55000000000000004">
      <c r="A2" t="s">
        <v>121</v>
      </c>
      <c r="F2" t="s">
        <v>62</v>
      </c>
      <c r="G2">
        <v>0.25</v>
      </c>
      <c r="H2">
        <v>0.32500000000000001</v>
      </c>
      <c r="I2">
        <v>0.4</v>
      </c>
      <c r="J2" t="s">
        <v>69</v>
      </c>
    </row>
    <row r="3" spans="1:10" x14ac:dyDescent="0.55000000000000004">
      <c r="A3" t="s">
        <v>4</v>
      </c>
      <c r="B3" s="2"/>
      <c r="C3" t="s">
        <v>5</v>
      </c>
      <c r="F3" t="s">
        <v>66</v>
      </c>
      <c r="G3">
        <v>0.5</v>
      </c>
      <c r="H3">
        <v>1</v>
      </c>
      <c r="I3">
        <v>1.5</v>
      </c>
      <c r="J3" t="s">
        <v>68</v>
      </c>
    </row>
    <row r="4" spans="1:10" x14ac:dyDescent="0.55000000000000004">
      <c r="A4" t="s">
        <v>6</v>
      </c>
      <c r="B4" s="2"/>
      <c r="C4" t="s">
        <v>7</v>
      </c>
      <c r="D4" t="s">
        <v>8</v>
      </c>
      <c r="F4" t="s">
        <v>67</v>
      </c>
      <c r="G4">
        <v>0.4</v>
      </c>
      <c r="H4">
        <v>0.5</v>
      </c>
      <c r="I4">
        <v>0.6</v>
      </c>
      <c r="J4" t="s">
        <v>70</v>
      </c>
    </row>
    <row r="5" spans="1:10" x14ac:dyDescent="0.55000000000000004">
      <c r="A5" t="s">
        <v>9</v>
      </c>
      <c r="B5" s="2"/>
      <c r="C5" t="s">
        <v>10</v>
      </c>
      <c r="D5" t="s">
        <v>11</v>
      </c>
    </row>
    <row r="6" spans="1:10" x14ac:dyDescent="0.55000000000000004">
      <c r="A6" t="s">
        <v>12</v>
      </c>
      <c r="B6" s="2"/>
      <c r="C6" t="s">
        <v>13</v>
      </c>
      <c r="D6" t="s">
        <v>80</v>
      </c>
    </row>
    <row r="7" spans="1:10" x14ac:dyDescent="0.55000000000000004">
      <c r="A7" t="s">
        <v>14</v>
      </c>
      <c r="B7" s="2"/>
      <c r="C7" t="s">
        <v>15</v>
      </c>
      <c r="D7" t="s">
        <v>16</v>
      </c>
    </row>
    <row r="8" spans="1:10" x14ac:dyDescent="0.55000000000000004">
      <c r="A8" t="s">
        <v>17</v>
      </c>
      <c r="B8" s="2"/>
      <c r="D8" t="s">
        <v>18</v>
      </c>
    </row>
    <row r="9" spans="1:10" x14ac:dyDescent="0.55000000000000004">
      <c r="A9" t="s">
        <v>19</v>
      </c>
      <c r="B9" s="2"/>
      <c r="C9" t="s">
        <v>20</v>
      </c>
    </row>
    <row r="10" spans="1:10" x14ac:dyDescent="0.55000000000000004">
      <c r="A10" t="s">
        <v>21</v>
      </c>
      <c r="B10" s="2"/>
      <c r="C10" t="s">
        <v>20</v>
      </c>
    </row>
    <row r="11" spans="1:10" x14ac:dyDescent="0.55000000000000004">
      <c r="A11" t="s">
        <v>22</v>
      </c>
      <c r="B11" s="2">
        <v>5</v>
      </c>
      <c r="C11" t="s">
        <v>23</v>
      </c>
    </row>
    <row r="12" spans="1:10" x14ac:dyDescent="0.55000000000000004">
      <c r="A12" t="s">
        <v>24</v>
      </c>
      <c r="B12" s="2">
        <v>8</v>
      </c>
      <c r="C12" t="s">
        <v>23</v>
      </c>
    </row>
    <row r="13" spans="1:10" x14ac:dyDescent="0.55000000000000004">
      <c r="A13" t="s">
        <v>25</v>
      </c>
      <c r="B13" s="2"/>
      <c r="C13" t="s">
        <v>26</v>
      </c>
      <c r="D13" t="s">
        <v>27</v>
      </c>
    </row>
    <row r="14" spans="1:10" x14ac:dyDescent="0.55000000000000004">
      <c r="A14" t="s">
        <v>28</v>
      </c>
      <c r="B14" s="2"/>
      <c r="C14" t="s">
        <v>29</v>
      </c>
    </row>
    <row r="15" spans="1:10" x14ac:dyDescent="0.55000000000000004">
      <c r="A15" t="s">
        <v>30</v>
      </c>
      <c r="B15" s="2"/>
      <c r="C15" t="s">
        <v>5</v>
      </c>
    </row>
    <row r="16" spans="1:10" x14ac:dyDescent="0.55000000000000004">
      <c r="A16" t="s">
        <v>31</v>
      </c>
      <c r="B16" s="2"/>
      <c r="C16" t="s">
        <v>20</v>
      </c>
    </row>
    <row r="17" spans="1:5" x14ac:dyDescent="0.55000000000000004">
      <c r="A17" t="s">
        <v>32</v>
      </c>
      <c r="B17" s="2"/>
      <c r="C17" t="s">
        <v>33</v>
      </c>
      <c r="D17" t="s">
        <v>34</v>
      </c>
    </row>
    <row r="18" spans="1:5" x14ac:dyDescent="0.55000000000000004">
      <c r="A18" t="s">
        <v>35</v>
      </c>
      <c r="B18" s="2"/>
      <c r="C18" t="s">
        <v>36</v>
      </c>
      <c r="D18" t="s">
        <v>37</v>
      </c>
    </row>
    <row r="19" spans="1:5" x14ac:dyDescent="0.55000000000000004">
      <c r="A19" t="s">
        <v>38</v>
      </c>
      <c r="B19">
        <v>4096</v>
      </c>
      <c r="C19" t="s">
        <v>39</v>
      </c>
    </row>
    <row r="21" spans="1:5" x14ac:dyDescent="0.55000000000000004">
      <c r="A21" s="9" t="s">
        <v>71</v>
      </c>
    </row>
    <row r="22" spans="1:5" s="6" customFormat="1" ht="57.6" x14ac:dyDescent="0.55000000000000004">
      <c r="A22" s="6" t="s">
        <v>40</v>
      </c>
      <c r="B22" s="6" t="e">
        <f>B14/B6</f>
        <v>#DIV/0!</v>
      </c>
      <c r="D22" s="5" t="s">
        <v>86</v>
      </c>
      <c r="E22" s="5" t="s">
        <v>87</v>
      </c>
    </row>
    <row r="23" spans="1:5" s="6" customFormat="1" ht="43.2" x14ac:dyDescent="0.55000000000000004">
      <c r="A23" s="6" t="s">
        <v>41</v>
      </c>
      <c r="B23" s="6" t="e">
        <f>IF(NOT(ISBLANK(B4)), B4, B22)</f>
        <v>#DIV/0!</v>
      </c>
      <c r="D23" s="6" t="s">
        <v>88</v>
      </c>
      <c r="E23" s="5" t="s">
        <v>89</v>
      </c>
    </row>
    <row r="24" spans="1:5" s="6" customFormat="1" ht="43.2" x14ac:dyDescent="0.55000000000000004">
      <c r="A24" s="6" t="s">
        <v>42</v>
      </c>
      <c r="B24" s="6" t="e">
        <f>B7/B6</f>
        <v>#DIV/0!</v>
      </c>
      <c r="D24" s="5" t="s">
        <v>90</v>
      </c>
      <c r="E24" s="5" t="s">
        <v>91</v>
      </c>
    </row>
    <row r="25" spans="1:5" s="6" customFormat="1" ht="28.8" x14ac:dyDescent="0.55000000000000004">
      <c r="A25" s="6" t="s">
        <v>43</v>
      </c>
      <c r="B25" s="6" t="e">
        <f>1/(2*PI()*B24)*10</f>
        <v>#DIV/0!</v>
      </c>
      <c r="D25" s="5" t="s">
        <v>92</v>
      </c>
      <c r="E25" s="5" t="s">
        <v>93</v>
      </c>
    </row>
    <row r="26" spans="1:5" s="6" customFormat="1" x14ac:dyDescent="0.55000000000000004">
      <c r="D26" s="5"/>
      <c r="E26" s="5"/>
    </row>
    <row r="27" spans="1:5" s="6" customFormat="1" x14ac:dyDescent="0.55000000000000004">
      <c r="A27" s="9" t="s">
        <v>72</v>
      </c>
      <c r="D27" s="5"/>
      <c r="E27" s="5"/>
    </row>
    <row r="28" spans="1:5" s="6" customFormat="1" ht="28.8" x14ac:dyDescent="0.55000000000000004">
      <c r="A28" s="6" t="s">
        <v>44</v>
      </c>
      <c r="B28" s="6" t="e">
        <f>B11/B23</f>
        <v>#DIV/0!</v>
      </c>
      <c r="D28" s="5" t="s">
        <v>94</v>
      </c>
      <c r="E28" s="7" t="s">
        <v>95</v>
      </c>
    </row>
    <row r="29" spans="1:5" s="6" customFormat="1" ht="28.8" x14ac:dyDescent="0.55000000000000004">
      <c r="A29" s="6" t="s">
        <v>45</v>
      </c>
      <c r="B29" s="6" t="e">
        <f>B12/B23</f>
        <v>#DIV/0!</v>
      </c>
      <c r="D29" s="5" t="s">
        <v>96</v>
      </c>
      <c r="E29" s="5" t="s">
        <v>97</v>
      </c>
    </row>
    <row r="30" spans="1:5" s="6" customFormat="1" x14ac:dyDescent="0.55000000000000004">
      <c r="A30" s="6" t="s">
        <v>46</v>
      </c>
      <c r="B30" s="6" t="e">
        <f>IF(B28&lt;=B9, "PASS", "CHECK")</f>
        <v>#DIV/0!</v>
      </c>
      <c r="D30" s="5"/>
      <c r="E30" s="5"/>
    </row>
    <row r="31" spans="1:5" s="6" customFormat="1" x14ac:dyDescent="0.55000000000000004">
      <c r="A31" s="6" t="s">
        <v>47</v>
      </c>
      <c r="B31" s="6" t="e">
        <f>IF(B29&lt;=B10, "PASS", "CHECK")</f>
        <v>#DIV/0!</v>
      </c>
      <c r="D31" s="5"/>
      <c r="E31" s="5"/>
    </row>
    <row r="32" spans="1:5" s="6" customFormat="1" x14ac:dyDescent="0.55000000000000004">
      <c r="D32" s="5"/>
      <c r="E32" s="5"/>
    </row>
    <row r="33" spans="1:5" s="6" customFormat="1" x14ac:dyDescent="0.55000000000000004">
      <c r="A33" s="9" t="s">
        <v>73</v>
      </c>
      <c r="D33" s="5"/>
      <c r="E33" s="5"/>
    </row>
    <row r="34" spans="1:5" s="6" customFormat="1" ht="28.8" x14ac:dyDescent="0.55000000000000004">
      <c r="A34" s="8" t="s">
        <v>48</v>
      </c>
      <c r="B34" s="6" t="e">
        <f>1.5*B28^2*B6</f>
        <v>#DIV/0!</v>
      </c>
      <c r="D34" s="5" t="s">
        <v>98</v>
      </c>
      <c r="E34" s="7" t="s">
        <v>100</v>
      </c>
    </row>
    <row r="35" spans="1:5" s="6" customFormat="1" x14ac:dyDescent="0.55000000000000004">
      <c r="A35" s="6" t="s">
        <v>49</v>
      </c>
      <c r="B35" s="6" t="e">
        <f>1.5*B29^2*B6</f>
        <v>#DIV/0!</v>
      </c>
      <c r="D35" s="6" t="s">
        <v>99</v>
      </c>
      <c r="E35" s="5" t="s">
        <v>101</v>
      </c>
    </row>
    <row r="36" spans="1:5" s="6" customFormat="1" ht="28.8" x14ac:dyDescent="0.55000000000000004">
      <c r="A36" s="6" t="s">
        <v>50</v>
      </c>
      <c r="B36" s="6" t="e">
        <f>B34/B3</f>
        <v>#DIV/0!</v>
      </c>
      <c r="D36" s="5" t="s">
        <v>102</v>
      </c>
      <c r="E36" s="5" t="s">
        <v>103</v>
      </c>
    </row>
    <row r="37" spans="1:5" s="6" customFormat="1" x14ac:dyDescent="0.55000000000000004">
      <c r="D37" s="5"/>
      <c r="E37" s="5"/>
    </row>
    <row r="38" spans="1:5" s="6" customFormat="1" x14ac:dyDescent="0.55000000000000004">
      <c r="A38" s="9" t="s">
        <v>74</v>
      </c>
      <c r="D38" s="5"/>
      <c r="E38" s="5"/>
    </row>
    <row r="39" spans="1:5" s="6" customFormat="1" ht="28.8" x14ac:dyDescent="0.55000000000000004">
      <c r="A39" s="6" t="s">
        <v>51</v>
      </c>
      <c r="B39" s="6" t="e">
        <f>B3/(2*B7*B14)</f>
        <v>#DIV/0!</v>
      </c>
      <c r="D39" s="5" t="s">
        <v>104</v>
      </c>
      <c r="E39" s="5" t="s">
        <v>105</v>
      </c>
    </row>
    <row r="40" spans="1:5" s="6" customFormat="1" x14ac:dyDescent="0.55000000000000004">
      <c r="A40" s="6" t="s">
        <v>52</v>
      </c>
      <c r="B40" s="6" t="e">
        <f>IF(B28&gt;0, B39/B28, "-")</f>
        <v>#DIV/0!</v>
      </c>
      <c r="D40" s="5"/>
      <c r="E40" s="5"/>
    </row>
    <row r="41" spans="1:5" s="6" customFormat="1" x14ac:dyDescent="0.55000000000000004">
      <c r="A41" s="6" t="s">
        <v>53</v>
      </c>
      <c r="B41" s="6" t="e">
        <f>IF(AND(ISNUMBER(B40), B40&lt;=0.2), "OK", "Consider higher L or f_sw")</f>
        <v>#DIV/0!</v>
      </c>
      <c r="D41" s="5"/>
      <c r="E41" s="5"/>
    </row>
    <row r="42" spans="1:5" s="6" customFormat="1" x14ac:dyDescent="0.55000000000000004">
      <c r="D42" s="5"/>
      <c r="E42" s="5"/>
    </row>
    <row r="43" spans="1:5" s="6" customFormat="1" x14ac:dyDescent="0.55000000000000004">
      <c r="A43" s="9" t="s">
        <v>75</v>
      </c>
      <c r="D43" s="5"/>
      <c r="E43" s="5"/>
    </row>
    <row r="44" spans="1:5" s="6" customFormat="1" ht="28.8" x14ac:dyDescent="0.55000000000000004">
      <c r="A44" s="6" t="s">
        <v>54</v>
      </c>
      <c r="B44" s="6" t="e">
        <f>B22*2*PI()*(B13/60)*SQRT(3)</f>
        <v>#DIV/0!</v>
      </c>
      <c r="D44" s="5" t="s">
        <v>106</v>
      </c>
      <c r="E44" s="7" t="s">
        <v>107</v>
      </c>
    </row>
    <row r="45" spans="1:5" s="6" customFormat="1" ht="28.8" x14ac:dyDescent="0.55000000000000004">
      <c r="A45" s="6" t="s">
        <v>55</v>
      </c>
      <c r="B45" s="6" t="e">
        <f>B44 + B28*B6</f>
        <v>#DIV/0!</v>
      </c>
      <c r="D45" s="5" t="s">
        <v>108</v>
      </c>
      <c r="E45" s="7" t="s">
        <v>109</v>
      </c>
    </row>
    <row r="46" spans="1:5" s="6" customFormat="1" ht="28.8" x14ac:dyDescent="0.55000000000000004">
      <c r="A46" s="6" t="s">
        <v>56</v>
      </c>
      <c r="B46" s="6" t="e">
        <f>B3-B45</f>
        <v>#DIV/0!</v>
      </c>
      <c r="D46" s="5"/>
      <c r="E46" s="5" t="s">
        <v>110</v>
      </c>
    </row>
    <row r="47" spans="1:5" s="6" customFormat="1" ht="28.8" x14ac:dyDescent="0.55000000000000004">
      <c r="A47" s="6" t="s">
        <v>57</v>
      </c>
      <c r="B47" s="6" t="str">
        <f>IF(B16&gt;0, (B15-B3)/B16, "-")</f>
        <v>-</v>
      </c>
      <c r="D47" s="5" t="s">
        <v>111</v>
      </c>
      <c r="E47" s="6" t="s">
        <v>112</v>
      </c>
    </row>
    <row r="48" spans="1:5" s="6" customFormat="1" x14ac:dyDescent="0.55000000000000004">
      <c r="A48" s="6" t="s">
        <v>58</v>
      </c>
      <c r="B48" s="6" t="e">
        <f>IF(B47&gt;0, B15^2/B47, "-")</f>
        <v>#VALUE!</v>
      </c>
      <c r="D48" s="6" t="s">
        <v>113</v>
      </c>
      <c r="E48" s="6" t="s">
        <v>114</v>
      </c>
    </row>
    <row r="49" spans="1:5" s="6" customFormat="1" ht="28.8" x14ac:dyDescent="0.55000000000000004">
      <c r="A49" s="6" t="s">
        <v>59</v>
      </c>
      <c r="B49" s="6">
        <f>0.5*B18*(2*PI()*(B13/60))^2</f>
        <v>0</v>
      </c>
      <c r="D49" s="5" t="s">
        <v>115</v>
      </c>
      <c r="E49" s="5" t="s">
        <v>116</v>
      </c>
    </row>
    <row r="50" spans="1:5" s="6" customFormat="1" ht="28.8" x14ac:dyDescent="0.55000000000000004">
      <c r="A50" s="6" t="s">
        <v>60</v>
      </c>
      <c r="B50" s="6" t="e">
        <f>SQRT(B3^2 + 2*B49/(B17/1000000))</f>
        <v>#DIV/0!</v>
      </c>
      <c r="D50" s="5" t="s">
        <v>117</v>
      </c>
      <c r="E50" s="8" t="s">
        <v>122</v>
      </c>
    </row>
  </sheetData>
  <conditionalFormatting sqref="B30">
    <cfRule type="cellIs" dxfId="19" priority="1" operator="equal">
      <formula>"PASS"</formula>
    </cfRule>
    <cfRule type="cellIs" dxfId="18" priority="2" operator="notEqual">
      <formula>"PASS"</formula>
    </cfRule>
  </conditionalFormatting>
  <conditionalFormatting sqref="B31">
    <cfRule type="cellIs" dxfId="17" priority="3" operator="equal">
      <formula>"PASS"</formula>
    </cfRule>
    <cfRule type="cellIs" dxfId="16" priority="4" operator="not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>
      <selection activeCell="F1" sqref="F1"/>
    </sheetView>
  </sheetViews>
  <sheetFormatPr baseColWidth="10" defaultRowHeight="14.4" x14ac:dyDescent="0.55000000000000004"/>
  <cols>
    <col min="1" max="1" width="41.89453125" customWidth="1"/>
    <col min="2" max="2" width="11.15625" customWidth="1"/>
    <col min="3" max="3" width="18.68359375" customWidth="1"/>
    <col min="4" max="4" width="67.5234375" customWidth="1"/>
    <col min="5" max="5" width="11.734375" customWidth="1"/>
  </cols>
  <sheetData>
    <row r="1" spans="1:6" x14ac:dyDescent="0.55000000000000004">
      <c r="A1" s="3" t="s">
        <v>77</v>
      </c>
      <c r="E1" t="s">
        <v>118</v>
      </c>
      <c r="F1" s="3" t="s">
        <v>119</v>
      </c>
    </row>
    <row r="2" spans="1:6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3"/>
    </row>
    <row r="3" spans="1:6" x14ac:dyDescent="0.55000000000000004">
      <c r="A3" t="s">
        <v>120</v>
      </c>
    </row>
    <row r="4" spans="1:6" x14ac:dyDescent="0.55000000000000004">
      <c r="A4" t="s">
        <v>4</v>
      </c>
      <c r="B4" s="2">
        <v>24</v>
      </c>
      <c r="C4" t="s">
        <v>5</v>
      </c>
      <c r="E4" t="s">
        <v>78</v>
      </c>
    </row>
    <row r="5" spans="1:6" x14ac:dyDescent="0.55000000000000004">
      <c r="A5" t="s">
        <v>6</v>
      </c>
      <c r="B5" s="2"/>
      <c r="C5" t="s">
        <v>7</v>
      </c>
      <c r="D5" t="s">
        <v>8</v>
      </c>
      <c r="E5" s="4" t="s">
        <v>79</v>
      </c>
    </row>
    <row r="6" spans="1:6" x14ac:dyDescent="0.55000000000000004">
      <c r="A6" t="s">
        <v>9</v>
      </c>
      <c r="B6" s="2">
        <v>8.5399999999999991</v>
      </c>
      <c r="C6" t="s">
        <v>10</v>
      </c>
      <c r="D6" t="s">
        <v>11</v>
      </c>
    </row>
    <row r="7" spans="1:6" x14ac:dyDescent="0.55000000000000004">
      <c r="A7" t="s">
        <v>12</v>
      </c>
      <c r="B7" s="2">
        <v>0.3</v>
      </c>
      <c r="C7" t="s">
        <v>13</v>
      </c>
      <c r="D7" t="s">
        <v>80</v>
      </c>
    </row>
    <row r="8" spans="1:6" x14ac:dyDescent="0.55000000000000004">
      <c r="A8" t="s">
        <v>14</v>
      </c>
      <c r="B8" s="2">
        <v>1E-3</v>
      </c>
      <c r="C8" t="s">
        <v>15</v>
      </c>
      <c r="D8" t="s">
        <v>16</v>
      </c>
    </row>
    <row r="9" spans="1:6" x14ac:dyDescent="0.55000000000000004">
      <c r="A9" t="s">
        <v>17</v>
      </c>
      <c r="B9" s="2">
        <v>15</v>
      </c>
      <c r="D9" t="s">
        <v>18</v>
      </c>
    </row>
    <row r="10" spans="1:6" x14ac:dyDescent="0.55000000000000004">
      <c r="A10" t="s">
        <v>19</v>
      </c>
      <c r="B10" s="2">
        <v>6</v>
      </c>
      <c r="C10" t="s">
        <v>20</v>
      </c>
    </row>
    <row r="11" spans="1:6" x14ac:dyDescent="0.55000000000000004">
      <c r="A11" t="s">
        <v>21</v>
      </c>
      <c r="B11" s="2">
        <v>18</v>
      </c>
      <c r="C11" t="s">
        <v>20</v>
      </c>
    </row>
    <row r="12" spans="1:6" x14ac:dyDescent="0.55000000000000004">
      <c r="A12" t="s">
        <v>22</v>
      </c>
      <c r="B12" s="2">
        <v>5</v>
      </c>
      <c r="C12" t="s">
        <v>23</v>
      </c>
    </row>
    <row r="13" spans="1:6" x14ac:dyDescent="0.55000000000000004">
      <c r="A13" t="s">
        <v>24</v>
      </c>
      <c r="B13" s="2">
        <v>8</v>
      </c>
      <c r="C13" t="s">
        <v>23</v>
      </c>
    </row>
    <row r="14" spans="1:6" x14ac:dyDescent="0.55000000000000004">
      <c r="A14" t="s">
        <v>25</v>
      </c>
      <c r="B14" s="2">
        <v>160</v>
      </c>
      <c r="C14" t="s">
        <v>26</v>
      </c>
      <c r="D14" t="s">
        <v>27</v>
      </c>
    </row>
    <row r="15" spans="1:6" x14ac:dyDescent="0.55000000000000004">
      <c r="A15" t="s">
        <v>28</v>
      </c>
      <c r="B15" s="2">
        <v>20000</v>
      </c>
      <c r="C15" t="s">
        <v>29</v>
      </c>
    </row>
    <row r="16" spans="1:6" x14ac:dyDescent="0.55000000000000004">
      <c r="A16" t="s">
        <v>30</v>
      </c>
      <c r="B16" s="2">
        <v>32</v>
      </c>
      <c r="C16" t="s">
        <v>5</v>
      </c>
    </row>
    <row r="17" spans="1:5" x14ac:dyDescent="0.55000000000000004">
      <c r="A17" t="s">
        <v>31</v>
      </c>
      <c r="B17" s="2">
        <v>3</v>
      </c>
      <c r="C17" t="s">
        <v>20</v>
      </c>
    </row>
    <row r="18" spans="1:5" x14ac:dyDescent="0.55000000000000004">
      <c r="A18" t="s">
        <v>32</v>
      </c>
      <c r="B18" s="2">
        <v>2000</v>
      </c>
      <c r="C18" t="s">
        <v>33</v>
      </c>
      <c r="D18" t="s">
        <v>34</v>
      </c>
    </row>
    <row r="19" spans="1:5" x14ac:dyDescent="0.55000000000000004">
      <c r="A19" t="s">
        <v>35</v>
      </c>
      <c r="B19" s="2">
        <v>1.2999999999999999E-2</v>
      </c>
      <c r="C19" t="s">
        <v>36</v>
      </c>
      <c r="D19" t="s">
        <v>37</v>
      </c>
      <c r="E19" t="s">
        <v>81</v>
      </c>
    </row>
    <row r="20" spans="1:5" x14ac:dyDescent="0.55000000000000004">
      <c r="A20" t="s">
        <v>38</v>
      </c>
      <c r="B20">
        <v>4096</v>
      </c>
      <c r="C20" t="s">
        <v>39</v>
      </c>
    </row>
    <row r="22" spans="1:5" x14ac:dyDescent="0.55000000000000004">
      <c r="A22" s="9" t="s">
        <v>71</v>
      </c>
    </row>
    <row r="23" spans="1:5" ht="43.2" x14ac:dyDescent="0.55000000000000004">
      <c r="A23" s="6" t="s">
        <v>40</v>
      </c>
      <c r="B23">
        <f>IF(NOT(ISBLANK(B5)), "--", 60/(2*PI()*B6))</f>
        <v>1.1181846118868526</v>
      </c>
      <c r="D23" s="5" t="s">
        <v>87</v>
      </c>
    </row>
    <row r="24" spans="1:5" ht="28.8" x14ac:dyDescent="0.55000000000000004">
      <c r="A24" s="6" t="s">
        <v>41</v>
      </c>
      <c r="B24">
        <f>IF(NOT(ISBLANK(B5)), B5, B23)</f>
        <v>1.1181846118868526</v>
      </c>
      <c r="D24" s="5" t="s">
        <v>89</v>
      </c>
    </row>
    <row r="25" spans="1:5" ht="28.8" x14ac:dyDescent="0.55000000000000004">
      <c r="A25" s="6" t="s">
        <v>42</v>
      </c>
      <c r="B25">
        <f>B8/B7</f>
        <v>3.3333333333333335E-3</v>
      </c>
      <c r="D25" s="5" t="s">
        <v>91</v>
      </c>
    </row>
    <row r="26" spans="1:5" ht="28.8" x14ac:dyDescent="0.55000000000000004">
      <c r="A26" s="6" t="s">
        <v>43</v>
      </c>
      <c r="B26">
        <f>1/(2*PI()*B25)*10</f>
        <v>477.46482927568599</v>
      </c>
      <c r="D26" s="5" t="s">
        <v>93</v>
      </c>
    </row>
    <row r="27" spans="1:5" x14ac:dyDescent="0.55000000000000004">
      <c r="A27" s="6"/>
      <c r="D27" s="5"/>
    </row>
    <row r="28" spans="1:5" x14ac:dyDescent="0.55000000000000004">
      <c r="A28" s="9" t="s">
        <v>72</v>
      </c>
      <c r="D28" s="5"/>
    </row>
    <row r="29" spans="1:5" x14ac:dyDescent="0.55000000000000004">
      <c r="A29" s="6" t="s">
        <v>44</v>
      </c>
      <c r="B29">
        <f>B12/B24</f>
        <v>4.4715335436094721</v>
      </c>
      <c r="D29" s="7" t="s">
        <v>95</v>
      </c>
    </row>
    <row r="30" spans="1:5" ht="28.8" x14ac:dyDescent="0.55000000000000004">
      <c r="A30" s="6" t="s">
        <v>45</v>
      </c>
      <c r="B30">
        <f>B13/B24</f>
        <v>7.1544536697751555</v>
      </c>
      <c r="D30" s="5" t="s">
        <v>97</v>
      </c>
    </row>
    <row r="31" spans="1:5" x14ac:dyDescent="0.55000000000000004">
      <c r="A31" s="6" t="s">
        <v>46</v>
      </c>
      <c r="B31" t="str">
        <f>IF(B29&lt;=B10, "PASS", "CHECK")</f>
        <v>PASS</v>
      </c>
      <c r="D31" s="5"/>
    </row>
    <row r="32" spans="1:5" x14ac:dyDescent="0.55000000000000004">
      <c r="A32" s="6" t="s">
        <v>47</v>
      </c>
      <c r="B32" t="str">
        <f>IF(B30&lt;=B11, "PASS", "CHECK")</f>
        <v>PASS</v>
      </c>
      <c r="D32" s="5"/>
    </row>
    <row r="33" spans="1:4" x14ac:dyDescent="0.55000000000000004">
      <c r="A33" s="6"/>
      <c r="D33" s="5"/>
    </row>
    <row r="34" spans="1:4" x14ac:dyDescent="0.55000000000000004">
      <c r="A34" s="9" t="s">
        <v>73</v>
      </c>
      <c r="D34" s="5"/>
    </row>
    <row r="35" spans="1:4" x14ac:dyDescent="0.55000000000000004">
      <c r="A35" s="8" t="s">
        <v>48</v>
      </c>
      <c r="B35">
        <f>1.5*B29^2*B7</f>
        <v>8.9975755042311061</v>
      </c>
      <c r="D35" s="7" t="s">
        <v>100</v>
      </c>
    </row>
    <row r="36" spans="1:4" x14ac:dyDescent="0.55000000000000004">
      <c r="A36" s="6" t="s">
        <v>49</v>
      </c>
      <c r="B36">
        <f>1.5*B30^2*B7</f>
        <v>23.033793290831635</v>
      </c>
      <c r="D36" s="5" t="s">
        <v>101</v>
      </c>
    </row>
    <row r="37" spans="1:4" ht="28.8" x14ac:dyDescent="0.55000000000000004">
      <c r="A37" s="6" t="s">
        <v>50</v>
      </c>
      <c r="B37">
        <f>B35/B4</f>
        <v>0.37489897934296273</v>
      </c>
      <c r="D37" s="5" t="s">
        <v>103</v>
      </c>
    </row>
    <row r="38" spans="1:4" x14ac:dyDescent="0.55000000000000004">
      <c r="A38" s="6"/>
      <c r="D38" s="5"/>
    </row>
    <row r="39" spans="1:4" x14ac:dyDescent="0.55000000000000004">
      <c r="A39" s="9" t="s">
        <v>74</v>
      </c>
      <c r="D39" s="5"/>
    </row>
    <row r="40" spans="1:4" x14ac:dyDescent="0.55000000000000004">
      <c r="A40" s="6" t="s">
        <v>51</v>
      </c>
      <c r="B40">
        <f>B4/(2*B8*B15)</f>
        <v>0.6</v>
      </c>
      <c r="D40" s="5" t="s">
        <v>105</v>
      </c>
    </row>
    <row r="41" spans="1:4" x14ac:dyDescent="0.55000000000000004">
      <c r="A41" s="6" t="s">
        <v>52</v>
      </c>
      <c r="B41">
        <f>IF(B29&gt;0, B40/B29, "-")</f>
        <v>0.13418215342642231</v>
      </c>
      <c r="D41" s="5"/>
    </row>
    <row r="42" spans="1:4" x14ac:dyDescent="0.55000000000000004">
      <c r="A42" s="6" t="s">
        <v>53</v>
      </c>
      <c r="B42" t="str">
        <f>IF(AND(ISNUMBER(B41), B41&lt;=0.2), "OK", "Consider higher L or f_sw")</f>
        <v>OK</v>
      </c>
      <c r="D42" s="5"/>
    </row>
    <row r="43" spans="1:4" x14ac:dyDescent="0.55000000000000004">
      <c r="A43" s="6"/>
      <c r="D43" s="5"/>
    </row>
    <row r="44" spans="1:4" x14ac:dyDescent="0.55000000000000004">
      <c r="A44" s="9" t="s">
        <v>75</v>
      </c>
      <c r="D44" s="5"/>
    </row>
    <row r="45" spans="1:4" ht="28.8" x14ac:dyDescent="0.55000000000000004">
      <c r="A45" s="6" t="s">
        <v>54</v>
      </c>
      <c r="B45">
        <f>B14/B6</f>
        <v>18.735362997658083</v>
      </c>
      <c r="D45" s="7" t="s">
        <v>107</v>
      </c>
    </row>
    <row r="46" spans="1:4" x14ac:dyDescent="0.55000000000000004">
      <c r="A46" s="6" t="s">
        <v>55</v>
      </c>
      <c r="B46">
        <f>B45 + B29*B7</f>
        <v>20.076823060740924</v>
      </c>
      <c r="D46" s="7" t="s">
        <v>109</v>
      </c>
    </row>
    <row r="47" spans="1:4" ht="28.8" x14ac:dyDescent="0.55000000000000004">
      <c r="A47" s="6" t="s">
        <v>56</v>
      </c>
      <c r="B47">
        <f>B4-B46</f>
        <v>3.9231769392590756</v>
      </c>
      <c r="D47" s="5" t="s">
        <v>110</v>
      </c>
    </row>
    <row r="48" spans="1:4" x14ac:dyDescent="0.55000000000000004">
      <c r="A48" s="6" t="s">
        <v>57</v>
      </c>
      <c r="B48">
        <f>IF(B17&gt;0, (B16-B4)/B17, "-")</f>
        <v>2.6666666666666665</v>
      </c>
      <c r="D48" s="6" t="s">
        <v>112</v>
      </c>
    </row>
    <row r="49" spans="1:4" x14ac:dyDescent="0.55000000000000004">
      <c r="A49" s="6" t="s">
        <v>58</v>
      </c>
      <c r="B49">
        <f>IF(B48&gt;0, B16^2/B48, "-")</f>
        <v>384</v>
      </c>
      <c r="D49" s="6" t="s">
        <v>114</v>
      </c>
    </row>
    <row r="50" spans="1:4" x14ac:dyDescent="0.55000000000000004">
      <c r="A50" s="6" t="s">
        <v>59</v>
      </c>
      <c r="B50">
        <f>0.5*B19*(2*PI()*(B14/60))^2</f>
        <v>1.8247801914902988</v>
      </c>
      <c r="D50" s="5" t="s">
        <v>116</v>
      </c>
    </row>
    <row r="51" spans="1:4" x14ac:dyDescent="0.55000000000000004">
      <c r="A51" s="6" t="s">
        <v>60</v>
      </c>
      <c r="B51">
        <f>SQRT(B4^2 + 2*B50/(B18/1000000))</f>
        <v>48.997757004686434</v>
      </c>
      <c r="D51" s="8" t="s">
        <v>122</v>
      </c>
    </row>
  </sheetData>
  <conditionalFormatting sqref="B31">
    <cfRule type="cellIs" dxfId="15" priority="1" operator="equal">
      <formula>"PASS"</formula>
    </cfRule>
    <cfRule type="cellIs" dxfId="14" priority="2" operator="notEqual">
      <formula>"PASS"</formula>
    </cfRule>
  </conditionalFormatting>
  <conditionalFormatting sqref="B32">
    <cfRule type="cellIs" dxfId="13" priority="3" operator="equal">
      <formula>"PASS"</formula>
    </cfRule>
    <cfRule type="cellIs" dxfId="12" priority="4" operator="notEqual">
      <formula>"PASS"</formula>
    </cfRule>
  </conditionalFormatting>
  <hyperlinks>
    <hyperlink ref="A1" r:id="rId1" display="https://www.robotmotor.com/factory-directly-36v-amr-brushless-hub-motor-zltech-6-5inch-24-48vdc-350w-wheel-hub-motor-for-robot-zhongling-product/?utm_source=chatgpt.com"/>
    <hyperlink ref="F1" r:id="rId2" display="https://www.alibaba.com/product-detail/ZLTECH-6-5inch-24V-48V-350W_1600500466622.htm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10" workbookViewId="0">
      <selection activeCell="D51" sqref="D51"/>
    </sheetView>
  </sheetViews>
  <sheetFormatPr baseColWidth="10" defaultRowHeight="14.4" x14ac:dyDescent="0.55000000000000004"/>
  <cols>
    <col min="1" max="1" width="41.47265625" customWidth="1"/>
    <col min="2" max="2" width="10.83984375" customWidth="1"/>
    <col min="3" max="3" width="18.68359375" customWidth="1"/>
    <col min="4" max="4" width="70.9453125" customWidth="1"/>
  </cols>
  <sheetData>
    <row r="1" spans="1:5" x14ac:dyDescent="0.55000000000000004">
      <c r="A1" s="3" t="s">
        <v>76</v>
      </c>
    </row>
    <row r="2" spans="1:5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5" x14ac:dyDescent="0.55000000000000004">
      <c r="A3" t="s">
        <v>121</v>
      </c>
    </row>
    <row r="4" spans="1:5" x14ac:dyDescent="0.55000000000000004">
      <c r="A4" t="s">
        <v>4</v>
      </c>
      <c r="B4" s="2">
        <v>24</v>
      </c>
      <c r="C4" t="s">
        <v>5</v>
      </c>
    </row>
    <row r="5" spans="1:5" x14ac:dyDescent="0.55000000000000004">
      <c r="A5" t="s">
        <v>6</v>
      </c>
      <c r="B5" s="2"/>
      <c r="C5" t="s">
        <v>7</v>
      </c>
      <c r="D5" t="s">
        <v>8</v>
      </c>
    </row>
    <row r="6" spans="1:5" x14ac:dyDescent="0.55000000000000004">
      <c r="A6" t="s">
        <v>9</v>
      </c>
      <c r="B6" s="2">
        <v>23.3</v>
      </c>
      <c r="C6" t="s">
        <v>10</v>
      </c>
      <c r="D6" t="s">
        <v>11</v>
      </c>
      <c r="E6" t="s">
        <v>82</v>
      </c>
    </row>
    <row r="7" spans="1:5" x14ac:dyDescent="0.55000000000000004">
      <c r="A7" t="s">
        <v>12</v>
      </c>
      <c r="B7" s="2">
        <v>0.35</v>
      </c>
      <c r="C7" t="s">
        <v>13</v>
      </c>
      <c r="D7" t="s">
        <v>80</v>
      </c>
    </row>
    <row r="8" spans="1:5" x14ac:dyDescent="0.55000000000000004">
      <c r="A8" t="s">
        <v>14</v>
      </c>
      <c r="B8" s="2">
        <v>1E-3</v>
      </c>
      <c r="C8" t="s">
        <v>15</v>
      </c>
      <c r="D8" t="s">
        <v>16</v>
      </c>
    </row>
    <row r="9" spans="1:5" x14ac:dyDescent="0.55000000000000004">
      <c r="A9" t="s">
        <v>17</v>
      </c>
      <c r="B9" s="2">
        <v>15</v>
      </c>
      <c r="D9" t="s">
        <v>18</v>
      </c>
    </row>
    <row r="10" spans="1:5" x14ac:dyDescent="0.55000000000000004">
      <c r="A10" t="s">
        <v>19</v>
      </c>
      <c r="B10" s="2">
        <v>10</v>
      </c>
      <c r="C10" t="s">
        <v>20</v>
      </c>
    </row>
    <row r="11" spans="1:5" x14ac:dyDescent="0.55000000000000004">
      <c r="A11" t="s">
        <v>21</v>
      </c>
      <c r="B11" s="2">
        <v>30</v>
      </c>
      <c r="C11" t="s">
        <v>20</v>
      </c>
    </row>
    <row r="12" spans="1:5" x14ac:dyDescent="0.55000000000000004">
      <c r="A12" t="s">
        <v>22</v>
      </c>
      <c r="B12" s="2">
        <v>5</v>
      </c>
      <c r="C12" t="s">
        <v>23</v>
      </c>
    </row>
    <row r="13" spans="1:5" x14ac:dyDescent="0.55000000000000004">
      <c r="A13" t="s">
        <v>24</v>
      </c>
      <c r="B13" s="2">
        <v>8</v>
      </c>
      <c r="C13" t="s">
        <v>23</v>
      </c>
    </row>
    <row r="14" spans="1:5" x14ac:dyDescent="0.55000000000000004">
      <c r="A14" t="s">
        <v>25</v>
      </c>
      <c r="B14" s="2">
        <v>500</v>
      </c>
      <c r="C14" t="s">
        <v>26</v>
      </c>
      <c r="D14" t="s">
        <v>27</v>
      </c>
    </row>
    <row r="15" spans="1:5" x14ac:dyDescent="0.55000000000000004">
      <c r="A15" t="s">
        <v>28</v>
      </c>
      <c r="B15" s="2">
        <v>20000</v>
      </c>
      <c r="C15" t="s">
        <v>29</v>
      </c>
    </row>
    <row r="16" spans="1:5" x14ac:dyDescent="0.55000000000000004">
      <c r="A16" t="s">
        <v>30</v>
      </c>
      <c r="B16" s="2">
        <v>32</v>
      </c>
      <c r="C16" t="s">
        <v>5</v>
      </c>
    </row>
    <row r="17" spans="1:4" x14ac:dyDescent="0.55000000000000004">
      <c r="A17" t="s">
        <v>31</v>
      </c>
      <c r="B17" s="2">
        <v>3</v>
      </c>
      <c r="C17" t="s">
        <v>20</v>
      </c>
    </row>
    <row r="18" spans="1:4" x14ac:dyDescent="0.55000000000000004">
      <c r="A18" t="s">
        <v>32</v>
      </c>
      <c r="B18" s="2">
        <v>2000</v>
      </c>
      <c r="C18" t="s">
        <v>33</v>
      </c>
      <c r="D18" t="s">
        <v>34</v>
      </c>
    </row>
    <row r="19" spans="1:4" x14ac:dyDescent="0.55000000000000004">
      <c r="A19" t="s">
        <v>35</v>
      </c>
      <c r="B19" s="2">
        <v>1.0699999999999999E-2</v>
      </c>
      <c r="C19" t="s">
        <v>36</v>
      </c>
      <c r="D19" t="s">
        <v>37</v>
      </c>
    </row>
    <row r="20" spans="1:4" x14ac:dyDescent="0.55000000000000004">
      <c r="A20" t="s">
        <v>38</v>
      </c>
      <c r="B20">
        <v>4096</v>
      </c>
      <c r="C20" t="s">
        <v>39</v>
      </c>
    </row>
    <row r="22" spans="1:4" x14ac:dyDescent="0.55000000000000004">
      <c r="A22" s="9" t="s">
        <v>71</v>
      </c>
    </row>
    <row r="23" spans="1:4" ht="28.8" x14ac:dyDescent="0.55000000000000004">
      <c r="A23" s="6" t="s">
        <v>40</v>
      </c>
      <c r="B23">
        <f>IF(NOT(ISBLANK(B5)), "--", 60/(2*PI()*B6))</f>
        <v>0.40984105517226266</v>
      </c>
      <c r="D23" s="5" t="s">
        <v>87</v>
      </c>
    </row>
    <row r="24" spans="1:4" ht="28.8" x14ac:dyDescent="0.55000000000000004">
      <c r="A24" s="6" t="s">
        <v>41</v>
      </c>
      <c r="B24">
        <f>IF(NOT(ISBLANK(B5)), B5, B23)</f>
        <v>0.40984105517226266</v>
      </c>
      <c r="D24" s="5" t="s">
        <v>89</v>
      </c>
    </row>
    <row r="25" spans="1:4" ht="28.8" x14ac:dyDescent="0.55000000000000004">
      <c r="A25" s="6" t="s">
        <v>42</v>
      </c>
      <c r="B25">
        <f>B8/B7</f>
        <v>2.8571428571428576E-3</v>
      </c>
      <c r="D25" s="5" t="s">
        <v>91</v>
      </c>
    </row>
    <row r="26" spans="1:4" ht="28.8" x14ac:dyDescent="0.55000000000000004">
      <c r="A26" s="6" t="s">
        <v>43</v>
      </c>
      <c r="B26">
        <f>1/(2*PI()*B25)*10</f>
        <v>557.0423008216336</v>
      </c>
      <c r="D26" s="5" t="s">
        <v>93</v>
      </c>
    </row>
    <row r="27" spans="1:4" x14ac:dyDescent="0.55000000000000004">
      <c r="A27" s="6"/>
      <c r="D27" s="5"/>
    </row>
    <row r="28" spans="1:4" x14ac:dyDescent="0.55000000000000004">
      <c r="A28" s="9" t="s">
        <v>72</v>
      </c>
      <c r="D28" s="5"/>
    </row>
    <row r="29" spans="1:4" x14ac:dyDescent="0.55000000000000004">
      <c r="A29" s="6" t="s">
        <v>44</v>
      </c>
      <c r="B29">
        <f>B12/B24</f>
        <v>12.199851471440365</v>
      </c>
      <c r="D29" s="7" t="s">
        <v>95</v>
      </c>
    </row>
    <row r="30" spans="1:4" ht="28.8" x14ac:dyDescent="0.55000000000000004">
      <c r="A30" s="6" t="s">
        <v>45</v>
      </c>
      <c r="B30">
        <f>B13/B24</f>
        <v>19.519762354304582</v>
      </c>
      <c r="D30" s="5" t="s">
        <v>97</v>
      </c>
    </row>
    <row r="31" spans="1:4" x14ac:dyDescent="0.55000000000000004">
      <c r="A31" s="6" t="s">
        <v>46</v>
      </c>
      <c r="B31" t="str">
        <f>IF(B29&lt;=B10, "PASS", "CHECK")</f>
        <v>CHECK</v>
      </c>
      <c r="D31" s="5"/>
    </row>
    <row r="32" spans="1:4" x14ac:dyDescent="0.55000000000000004">
      <c r="A32" s="6" t="s">
        <v>47</v>
      </c>
      <c r="B32" t="str">
        <f>IF(B30&lt;=B11, "PASS", "CHECK")</f>
        <v>PASS</v>
      </c>
      <c r="D32" s="5"/>
    </row>
    <row r="33" spans="1:4" x14ac:dyDescent="0.55000000000000004">
      <c r="A33" s="6"/>
      <c r="D33" s="5"/>
    </row>
    <row r="34" spans="1:4" x14ac:dyDescent="0.55000000000000004">
      <c r="A34" s="9" t="s">
        <v>73</v>
      </c>
      <c r="D34" s="5"/>
    </row>
    <row r="35" spans="1:4" x14ac:dyDescent="0.55000000000000004">
      <c r="A35" s="8" t="s">
        <v>48</v>
      </c>
      <c r="B35">
        <f>1.5*B29^2*B7</f>
        <v>78.139097360732947</v>
      </c>
      <c r="D35" s="7" t="s">
        <v>100</v>
      </c>
    </row>
    <row r="36" spans="1:4" x14ac:dyDescent="0.55000000000000004">
      <c r="A36" s="6" t="s">
        <v>49</v>
      </c>
      <c r="B36">
        <f>1.5*B30^2*B7</f>
        <v>200.03608924347634</v>
      </c>
      <c r="D36" s="5" t="s">
        <v>101</v>
      </c>
    </row>
    <row r="37" spans="1:4" ht="28.8" x14ac:dyDescent="0.55000000000000004">
      <c r="A37" s="6" t="s">
        <v>50</v>
      </c>
      <c r="B37">
        <f>B35/B4</f>
        <v>3.2557957233638728</v>
      </c>
      <c r="D37" s="5" t="s">
        <v>103</v>
      </c>
    </row>
    <row r="38" spans="1:4" x14ac:dyDescent="0.55000000000000004">
      <c r="A38" s="6"/>
      <c r="D38" s="5"/>
    </row>
    <row r="39" spans="1:4" x14ac:dyDescent="0.55000000000000004">
      <c r="A39" s="9" t="s">
        <v>74</v>
      </c>
      <c r="D39" s="5"/>
    </row>
    <row r="40" spans="1:4" x14ac:dyDescent="0.55000000000000004">
      <c r="A40" s="6" t="s">
        <v>51</v>
      </c>
      <c r="B40">
        <f>B4/(2*B8*B15)</f>
        <v>0.6</v>
      </c>
      <c r="D40" s="5" t="s">
        <v>105</v>
      </c>
    </row>
    <row r="41" spans="1:4" x14ac:dyDescent="0.55000000000000004">
      <c r="A41" s="6" t="s">
        <v>52</v>
      </c>
      <c r="B41">
        <f>IF(B29&gt;0, B40/B29, "-")</f>
        <v>4.9180926620671514E-2</v>
      </c>
      <c r="D41" s="5"/>
    </row>
    <row r="42" spans="1:4" x14ac:dyDescent="0.55000000000000004">
      <c r="A42" s="6" t="s">
        <v>53</v>
      </c>
      <c r="B42" t="str">
        <f>IF(AND(ISNUMBER(B41), B41&lt;=0.2), "OK", "Consider higher L or f_sw")</f>
        <v>OK</v>
      </c>
      <c r="D42" s="5"/>
    </row>
    <row r="43" spans="1:4" x14ac:dyDescent="0.55000000000000004">
      <c r="A43" s="6"/>
      <c r="D43" s="5"/>
    </row>
    <row r="44" spans="1:4" x14ac:dyDescent="0.55000000000000004">
      <c r="A44" s="9" t="s">
        <v>75</v>
      </c>
      <c r="D44" s="5"/>
    </row>
    <row r="45" spans="1:4" ht="28.8" x14ac:dyDescent="0.55000000000000004">
      <c r="A45" s="6" t="s">
        <v>54</v>
      </c>
      <c r="B45">
        <f>B14/B6</f>
        <v>21.459227467811157</v>
      </c>
      <c r="D45" s="7" t="s">
        <v>107</v>
      </c>
    </row>
    <row r="46" spans="1:4" x14ac:dyDescent="0.55000000000000004">
      <c r="A46" s="6" t="s">
        <v>55</v>
      </c>
      <c r="B46">
        <f>B45 + B29*B7</f>
        <v>25.729175482815286</v>
      </c>
      <c r="D46" s="7" t="s">
        <v>109</v>
      </c>
    </row>
    <row r="47" spans="1:4" ht="28.8" x14ac:dyDescent="0.55000000000000004">
      <c r="A47" s="6" t="s">
        <v>56</v>
      </c>
      <c r="B47">
        <f>B4-B46</f>
        <v>-1.7291754828152861</v>
      </c>
      <c r="D47" s="5" t="s">
        <v>110</v>
      </c>
    </row>
    <row r="48" spans="1:4" x14ac:dyDescent="0.55000000000000004">
      <c r="A48" s="6" t="s">
        <v>57</v>
      </c>
      <c r="B48">
        <f>IF(B17&gt;0, (B16-B4)/B17, "-")</f>
        <v>2.6666666666666665</v>
      </c>
      <c r="D48" s="6" t="s">
        <v>112</v>
      </c>
    </row>
    <row r="49" spans="1:4" x14ac:dyDescent="0.55000000000000004">
      <c r="A49" s="6" t="s">
        <v>58</v>
      </c>
      <c r="B49">
        <f>IF(B48&gt;0, B16^2/B48, "-")</f>
        <v>384</v>
      </c>
      <c r="D49" s="6" t="s">
        <v>114</v>
      </c>
    </row>
    <row r="50" spans="1:4" x14ac:dyDescent="0.55000000000000004">
      <c r="A50" s="6" t="s">
        <v>59</v>
      </c>
      <c r="B50">
        <f>0.5*B19*(2*PI()*(B14/60))^2</f>
        <v>14.667328762730019</v>
      </c>
      <c r="D50" s="5" t="s">
        <v>116</v>
      </c>
    </row>
    <row r="51" spans="1:4" x14ac:dyDescent="0.55000000000000004">
      <c r="A51" s="6" t="s">
        <v>60</v>
      </c>
      <c r="B51">
        <f>SQRT(B4^2 + 2*B50/(B18/1000000))</f>
        <v>123.46387634741596</v>
      </c>
      <c r="D51" s="8" t="s">
        <v>122</v>
      </c>
    </row>
  </sheetData>
  <conditionalFormatting sqref="B31">
    <cfRule type="cellIs" dxfId="11" priority="1" operator="equal">
      <formula>"PASS"</formula>
    </cfRule>
    <cfRule type="cellIs" dxfId="10" priority="2" operator="notEqual">
      <formula>"PASS"</formula>
    </cfRule>
  </conditionalFormatting>
  <conditionalFormatting sqref="B32">
    <cfRule type="cellIs" dxfId="9" priority="3" operator="equal">
      <formula>"PASS"</formula>
    </cfRule>
    <cfRule type="cellIs" dxfId="8" priority="4" operator="notEqual">
      <formula>"PASS"</formula>
    </cfRule>
  </conditionalFormatting>
  <hyperlinks>
    <hyperlink ref="A1" r:id="rId1" display="https://www.robotmotor.com/zltech-6-5inch-24v-48v-250w-100kg-bldc-rubber-wheel-hub-motor-for-medical-robot-product/?utm_source=chatgpt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16" workbookViewId="0">
      <selection activeCell="B40" sqref="B40"/>
    </sheetView>
  </sheetViews>
  <sheetFormatPr baseColWidth="10" defaultRowHeight="14.4" x14ac:dyDescent="0.55000000000000004"/>
  <cols>
    <col min="1" max="1" width="41.26171875" customWidth="1"/>
    <col min="4" max="4" width="72.7890625" customWidth="1"/>
  </cols>
  <sheetData>
    <row r="1" spans="1:4" x14ac:dyDescent="0.55000000000000004">
      <c r="A1" s="3" t="s">
        <v>83</v>
      </c>
    </row>
    <row r="2" spans="1:4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55000000000000004">
      <c r="A3" t="s">
        <v>121</v>
      </c>
    </row>
    <row r="4" spans="1:4" x14ac:dyDescent="0.55000000000000004">
      <c r="A4" t="s">
        <v>4</v>
      </c>
      <c r="B4" s="2">
        <v>36</v>
      </c>
      <c r="C4" t="s">
        <v>5</v>
      </c>
    </row>
    <row r="5" spans="1:4" x14ac:dyDescent="0.55000000000000004">
      <c r="A5" t="s">
        <v>6</v>
      </c>
      <c r="B5" s="2"/>
      <c r="C5" t="s">
        <v>7</v>
      </c>
      <c r="D5" t="s">
        <v>8</v>
      </c>
    </row>
    <row r="6" spans="1:4" x14ac:dyDescent="0.55000000000000004">
      <c r="A6" t="s">
        <v>9</v>
      </c>
      <c r="B6" s="2">
        <v>9.5500000000000007</v>
      </c>
      <c r="C6" t="s">
        <v>10</v>
      </c>
      <c r="D6" t="s">
        <v>11</v>
      </c>
    </row>
    <row r="7" spans="1:4" x14ac:dyDescent="0.55000000000000004">
      <c r="A7" t="s">
        <v>12</v>
      </c>
      <c r="B7" s="2">
        <v>0.1487</v>
      </c>
      <c r="C7" t="s">
        <v>13</v>
      </c>
      <c r="D7" t="s">
        <v>80</v>
      </c>
    </row>
    <row r="8" spans="1:4" x14ac:dyDescent="0.55000000000000004">
      <c r="A8" t="s">
        <v>14</v>
      </c>
      <c r="B8" s="2">
        <v>3.6000000000000002E-4</v>
      </c>
      <c r="C8" t="s">
        <v>15</v>
      </c>
      <c r="D8" t="s">
        <v>16</v>
      </c>
    </row>
    <row r="9" spans="1:4" x14ac:dyDescent="0.55000000000000004">
      <c r="A9" t="s">
        <v>17</v>
      </c>
      <c r="B9" s="2">
        <v>15</v>
      </c>
      <c r="D9" t="s">
        <v>18</v>
      </c>
    </row>
    <row r="10" spans="1:4" x14ac:dyDescent="0.55000000000000004">
      <c r="A10" t="s">
        <v>19</v>
      </c>
      <c r="B10" s="2">
        <v>20</v>
      </c>
      <c r="C10" t="s">
        <v>20</v>
      </c>
    </row>
    <row r="11" spans="1:4" x14ac:dyDescent="0.55000000000000004">
      <c r="A11" t="s">
        <v>21</v>
      </c>
      <c r="B11" s="2">
        <v>45</v>
      </c>
      <c r="C11" t="s">
        <v>20</v>
      </c>
    </row>
    <row r="12" spans="1:4" x14ac:dyDescent="0.55000000000000004">
      <c r="A12" t="s">
        <v>22</v>
      </c>
      <c r="B12" s="2">
        <v>5</v>
      </c>
      <c r="C12" t="s">
        <v>23</v>
      </c>
    </row>
    <row r="13" spans="1:4" x14ac:dyDescent="0.55000000000000004">
      <c r="A13" t="s">
        <v>24</v>
      </c>
      <c r="B13" s="2">
        <v>8</v>
      </c>
      <c r="C13" t="s">
        <v>23</v>
      </c>
    </row>
    <row r="14" spans="1:4" x14ac:dyDescent="0.55000000000000004">
      <c r="A14" t="s">
        <v>25</v>
      </c>
      <c r="B14" s="2">
        <v>500</v>
      </c>
      <c r="C14" t="s">
        <v>26</v>
      </c>
      <c r="D14" t="s">
        <v>27</v>
      </c>
    </row>
    <row r="15" spans="1:4" x14ac:dyDescent="0.55000000000000004">
      <c r="A15" t="s">
        <v>28</v>
      </c>
      <c r="B15" s="2">
        <v>20000</v>
      </c>
      <c r="C15" t="s">
        <v>29</v>
      </c>
    </row>
    <row r="16" spans="1:4" x14ac:dyDescent="0.55000000000000004">
      <c r="A16" t="s">
        <v>30</v>
      </c>
      <c r="B16" s="2">
        <v>45</v>
      </c>
      <c r="C16" t="s">
        <v>5</v>
      </c>
    </row>
    <row r="17" spans="1:4" x14ac:dyDescent="0.55000000000000004">
      <c r="A17" t="s">
        <v>31</v>
      </c>
      <c r="B17" s="2">
        <v>3</v>
      </c>
      <c r="C17" t="s">
        <v>20</v>
      </c>
    </row>
    <row r="18" spans="1:4" x14ac:dyDescent="0.55000000000000004">
      <c r="A18" t="s">
        <v>32</v>
      </c>
      <c r="B18" s="2">
        <v>2000</v>
      </c>
      <c r="C18" t="s">
        <v>33</v>
      </c>
      <c r="D18" t="s">
        <v>34</v>
      </c>
    </row>
    <row r="19" spans="1:4" x14ac:dyDescent="0.55000000000000004">
      <c r="A19" t="s">
        <v>35</v>
      </c>
      <c r="B19" s="2">
        <v>1.6E-2</v>
      </c>
      <c r="C19" t="s">
        <v>36</v>
      </c>
      <c r="D19" t="s">
        <v>37</v>
      </c>
    </row>
    <row r="20" spans="1:4" x14ac:dyDescent="0.55000000000000004">
      <c r="A20" t="s">
        <v>38</v>
      </c>
      <c r="B20">
        <v>4096</v>
      </c>
      <c r="C20" t="s">
        <v>39</v>
      </c>
    </row>
    <row r="22" spans="1:4" x14ac:dyDescent="0.55000000000000004">
      <c r="A22" s="9" t="s">
        <v>71</v>
      </c>
    </row>
    <row r="23" spans="1:4" ht="28.8" x14ac:dyDescent="0.55000000000000004">
      <c r="A23" s="6" t="s">
        <v>40</v>
      </c>
      <c r="B23">
        <f>IF(NOT(ISBLANK(B5)), "--", 60/(2*PI()*B6))</f>
        <v>0.99992634403285019</v>
      </c>
      <c r="D23" s="5" t="s">
        <v>87</v>
      </c>
    </row>
    <row r="24" spans="1:4" ht="28.8" x14ac:dyDescent="0.55000000000000004">
      <c r="A24" s="6" t="s">
        <v>41</v>
      </c>
      <c r="B24">
        <f>IF(NOT(ISBLANK(B5)), B5, B23)</f>
        <v>0.99992634403285019</v>
      </c>
      <c r="D24" s="5" t="s">
        <v>89</v>
      </c>
    </row>
    <row r="25" spans="1:4" ht="28.8" x14ac:dyDescent="0.55000000000000004">
      <c r="A25" s="6" t="s">
        <v>42</v>
      </c>
      <c r="B25">
        <f>B8/B7</f>
        <v>2.4209818426361805E-3</v>
      </c>
      <c r="D25" s="5" t="s">
        <v>91</v>
      </c>
    </row>
    <row r="26" spans="1:4" ht="28.8" x14ac:dyDescent="0.55000000000000004">
      <c r="A26" s="6" t="s">
        <v>43</v>
      </c>
      <c r="B26">
        <f>1/(2*PI()*B25)*10</f>
        <v>657.39833438235655</v>
      </c>
      <c r="D26" s="5" t="s">
        <v>93</v>
      </c>
    </row>
    <row r="27" spans="1:4" x14ac:dyDescent="0.55000000000000004">
      <c r="A27" s="6"/>
      <c r="D27" s="5"/>
    </row>
    <row r="28" spans="1:4" x14ac:dyDescent="0.55000000000000004">
      <c r="A28" s="9" t="s">
        <v>72</v>
      </c>
      <c r="D28" s="5"/>
    </row>
    <row r="29" spans="1:4" x14ac:dyDescent="0.55000000000000004">
      <c r="A29" s="6" t="s">
        <v>44</v>
      </c>
      <c r="B29">
        <f>B12/B24</f>
        <v>5.0003683069637548</v>
      </c>
      <c r="D29" s="7" t="s">
        <v>95</v>
      </c>
    </row>
    <row r="30" spans="1:4" ht="28.8" x14ac:dyDescent="0.55000000000000004">
      <c r="A30" s="6" t="s">
        <v>45</v>
      </c>
      <c r="B30">
        <f>B13/B24</f>
        <v>8.000589291142008</v>
      </c>
      <c r="D30" s="5" t="s">
        <v>97</v>
      </c>
    </row>
    <row r="31" spans="1:4" x14ac:dyDescent="0.55000000000000004">
      <c r="A31" s="6" t="s">
        <v>46</v>
      </c>
      <c r="B31" t="str">
        <f>IF(B29&lt;=B10, "PASS", "CHECK")</f>
        <v>PASS</v>
      </c>
      <c r="D31" s="5"/>
    </row>
    <row r="32" spans="1:4" x14ac:dyDescent="0.55000000000000004">
      <c r="A32" s="6" t="s">
        <v>47</v>
      </c>
      <c r="B32" t="str">
        <f>IF(B30&lt;=B11, "PASS", "CHECK")</f>
        <v>PASS</v>
      </c>
      <c r="D32" s="5"/>
    </row>
    <row r="33" spans="1:4" x14ac:dyDescent="0.55000000000000004">
      <c r="A33" s="6"/>
      <c r="D33" s="5"/>
    </row>
    <row r="34" spans="1:4" x14ac:dyDescent="0.55000000000000004">
      <c r="A34" s="9" t="s">
        <v>73</v>
      </c>
      <c r="D34" s="5"/>
    </row>
    <row r="35" spans="1:4" x14ac:dyDescent="0.55000000000000004">
      <c r="A35" s="8" t="s">
        <v>48</v>
      </c>
      <c r="B35">
        <f>1.5*B29^2*B7</f>
        <v>5.5770715389393919</v>
      </c>
      <c r="D35" s="7" t="s">
        <v>100</v>
      </c>
    </row>
    <row r="36" spans="1:4" x14ac:dyDescent="0.55000000000000004">
      <c r="A36" s="6" t="s">
        <v>49</v>
      </c>
      <c r="B36">
        <f>1.5*B30^2*B7</f>
        <v>14.277303139684845</v>
      </c>
      <c r="D36" s="5" t="s">
        <v>101</v>
      </c>
    </row>
    <row r="37" spans="1:4" ht="28.8" x14ac:dyDescent="0.55000000000000004">
      <c r="A37" s="6" t="s">
        <v>50</v>
      </c>
      <c r="B37">
        <f>B35/B4</f>
        <v>0.15491865385942755</v>
      </c>
      <c r="D37" s="5" t="s">
        <v>103</v>
      </c>
    </row>
    <row r="38" spans="1:4" x14ac:dyDescent="0.55000000000000004">
      <c r="A38" s="6"/>
      <c r="D38" s="5"/>
    </row>
    <row r="39" spans="1:4" x14ac:dyDescent="0.55000000000000004">
      <c r="A39" s="9" t="s">
        <v>74</v>
      </c>
      <c r="D39" s="5"/>
    </row>
    <row r="40" spans="1:4" x14ac:dyDescent="0.55000000000000004">
      <c r="A40" s="6" t="s">
        <v>51</v>
      </c>
      <c r="B40">
        <f>B4/(2*B8*B15)</f>
        <v>2.5</v>
      </c>
      <c r="D40" s="5" t="s">
        <v>105</v>
      </c>
    </row>
    <row r="41" spans="1:4" x14ac:dyDescent="0.55000000000000004">
      <c r="A41" s="6" t="s">
        <v>52</v>
      </c>
      <c r="B41">
        <f>IF(B29&gt;0, B40/B29, "-")</f>
        <v>0.49996317201642509</v>
      </c>
      <c r="D41" s="5"/>
    </row>
    <row r="42" spans="1:4" x14ac:dyDescent="0.55000000000000004">
      <c r="A42" s="6" t="s">
        <v>53</v>
      </c>
      <c r="B42" t="str">
        <f>IF(AND(ISNUMBER(B41), B41&lt;=0.2), "OK", "Consider higher L or f_sw")</f>
        <v>Consider higher L or f_sw</v>
      </c>
      <c r="D42" s="5"/>
    </row>
    <row r="43" spans="1:4" x14ac:dyDescent="0.55000000000000004">
      <c r="A43" s="6"/>
      <c r="D43" s="5"/>
    </row>
    <row r="44" spans="1:4" x14ac:dyDescent="0.55000000000000004">
      <c r="A44" s="9" t="s">
        <v>75</v>
      </c>
      <c r="D44" s="5"/>
    </row>
    <row r="45" spans="1:4" ht="28.8" x14ac:dyDescent="0.55000000000000004">
      <c r="A45" s="6" t="s">
        <v>54</v>
      </c>
      <c r="B45">
        <f>B14/B6</f>
        <v>52.356020942408371</v>
      </c>
      <c r="D45" s="7" t="s">
        <v>107</v>
      </c>
    </row>
    <row r="46" spans="1:4" x14ac:dyDescent="0.55000000000000004">
      <c r="A46" s="6" t="s">
        <v>55</v>
      </c>
      <c r="B46">
        <f>B45 + B29*B7</f>
        <v>53.099575709653884</v>
      </c>
      <c r="D46" s="7" t="s">
        <v>109</v>
      </c>
    </row>
    <row r="47" spans="1:4" ht="28.8" x14ac:dyDescent="0.55000000000000004">
      <c r="A47" s="6" t="s">
        <v>56</v>
      </c>
      <c r="B47">
        <f>B4-B46</f>
        <v>-17.099575709653884</v>
      </c>
      <c r="D47" s="5" t="s">
        <v>110</v>
      </c>
    </row>
    <row r="48" spans="1:4" x14ac:dyDescent="0.55000000000000004">
      <c r="A48" s="6" t="s">
        <v>57</v>
      </c>
      <c r="B48">
        <f>IF(B17&gt;0, (B16-B4)/B17, "-")</f>
        <v>3</v>
      </c>
      <c r="D48" s="6" t="s">
        <v>112</v>
      </c>
    </row>
    <row r="49" spans="1:4" x14ac:dyDescent="0.55000000000000004">
      <c r="A49" s="6" t="s">
        <v>58</v>
      </c>
      <c r="B49">
        <f>IF(B48&gt;0, B16^2/B48, "-")</f>
        <v>675</v>
      </c>
      <c r="D49" s="6" t="s">
        <v>114</v>
      </c>
    </row>
    <row r="50" spans="1:4" x14ac:dyDescent="0.55000000000000004">
      <c r="A50" s="6" t="s">
        <v>59</v>
      </c>
      <c r="B50">
        <f>0.5*B19*(2*PI()*(B14/60))^2</f>
        <v>21.932454224643021</v>
      </c>
      <c r="D50" s="5" t="s">
        <v>116</v>
      </c>
    </row>
    <row r="51" spans="1:4" x14ac:dyDescent="0.55000000000000004">
      <c r="A51" s="6" t="s">
        <v>60</v>
      </c>
      <c r="B51">
        <f>SQRT(B4^2 + 2*B50/(B18/1000000))</f>
        <v>152.40883906336609</v>
      </c>
      <c r="D51" s="8" t="s">
        <v>122</v>
      </c>
    </row>
  </sheetData>
  <conditionalFormatting sqref="B31">
    <cfRule type="cellIs" dxfId="7" priority="1" operator="equal">
      <formula>"PASS"</formula>
    </cfRule>
    <cfRule type="cellIs" dxfId="6" priority="2" operator="notEqual">
      <formula>"PASS"</formula>
    </cfRule>
  </conditionalFormatting>
  <conditionalFormatting sqref="B32">
    <cfRule type="cellIs" dxfId="5" priority="3" operator="equal">
      <formula>"PASS"</formula>
    </cfRule>
    <cfRule type="cellIs" dxfId="4" priority="4" operator="notEqual">
      <formula>"PASS"</formula>
    </cfRule>
  </conditionalFormatting>
  <hyperlinks>
    <hyperlink ref="A1" r:id="rId1" display="https://www.uumotor.com/6-5-inch-180kg-load-servo-hub-motor.html?utm_source=chatgpt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opLeftCell="A4" workbookViewId="0">
      <selection activeCell="B10" sqref="B10"/>
    </sheetView>
  </sheetViews>
  <sheetFormatPr baseColWidth="10" defaultRowHeight="14.4" x14ac:dyDescent="0.55000000000000004"/>
  <cols>
    <col min="1" max="1" width="41.05078125" bestFit="1" customWidth="1"/>
    <col min="4" max="4" width="76.41796875" customWidth="1"/>
  </cols>
  <sheetData>
    <row r="1" spans="1:4" x14ac:dyDescent="0.55000000000000004">
      <c r="A1" s="3" t="s">
        <v>84</v>
      </c>
      <c r="D1" t="s">
        <v>85</v>
      </c>
    </row>
    <row r="2" spans="1:4" x14ac:dyDescent="0.5500000000000000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55000000000000004">
      <c r="A3" t="s">
        <v>121</v>
      </c>
    </row>
    <row r="4" spans="1:4" x14ac:dyDescent="0.55000000000000004">
      <c r="A4" t="s">
        <v>4</v>
      </c>
      <c r="B4" s="2">
        <v>48</v>
      </c>
      <c r="C4" t="s">
        <v>5</v>
      </c>
    </row>
    <row r="5" spans="1:4" x14ac:dyDescent="0.55000000000000004">
      <c r="A5" t="s">
        <v>6</v>
      </c>
      <c r="B5" s="2"/>
      <c r="C5" t="s">
        <v>7</v>
      </c>
      <c r="D5" t="s">
        <v>8</v>
      </c>
    </row>
    <row r="6" spans="1:4" x14ac:dyDescent="0.55000000000000004">
      <c r="A6" t="s">
        <v>9</v>
      </c>
      <c r="B6" s="2">
        <v>105</v>
      </c>
      <c r="C6" t="s">
        <v>10</v>
      </c>
      <c r="D6" t="s">
        <v>11</v>
      </c>
    </row>
    <row r="7" spans="1:4" x14ac:dyDescent="0.55000000000000004">
      <c r="A7" t="s">
        <v>12</v>
      </c>
      <c r="B7" s="2">
        <v>0.24399999999999999</v>
      </c>
      <c r="C7" t="s">
        <v>13</v>
      </c>
      <c r="D7" t="s">
        <v>80</v>
      </c>
    </row>
    <row r="8" spans="1:4" x14ac:dyDescent="0.55000000000000004">
      <c r="A8" t="s">
        <v>14</v>
      </c>
      <c r="B8" s="2">
        <v>3.1500000000000001E-4</v>
      </c>
      <c r="C8" t="s">
        <v>15</v>
      </c>
      <c r="D8" t="s">
        <v>16</v>
      </c>
    </row>
    <row r="9" spans="1:4" x14ac:dyDescent="0.55000000000000004">
      <c r="A9" t="s">
        <v>17</v>
      </c>
      <c r="B9" s="2">
        <v>7</v>
      </c>
      <c r="D9" t="s">
        <v>18</v>
      </c>
    </row>
    <row r="10" spans="1:4" x14ac:dyDescent="0.55000000000000004">
      <c r="A10" t="s">
        <v>19</v>
      </c>
      <c r="B10" s="2">
        <v>3.59</v>
      </c>
      <c r="C10" t="s">
        <v>20</v>
      </c>
    </row>
    <row r="11" spans="1:4" x14ac:dyDescent="0.55000000000000004">
      <c r="A11" t="s">
        <v>21</v>
      </c>
      <c r="B11" s="2">
        <v>197</v>
      </c>
      <c r="C11" t="s">
        <v>20</v>
      </c>
    </row>
    <row r="12" spans="1:4" x14ac:dyDescent="0.55000000000000004">
      <c r="A12" t="s">
        <v>22</v>
      </c>
      <c r="B12" s="2">
        <v>5</v>
      </c>
      <c r="C12" t="s">
        <v>23</v>
      </c>
    </row>
    <row r="13" spans="1:4" x14ac:dyDescent="0.55000000000000004">
      <c r="A13" t="s">
        <v>24</v>
      </c>
      <c r="B13" s="2">
        <v>8</v>
      </c>
      <c r="C13" t="s">
        <v>23</v>
      </c>
    </row>
    <row r="14" spans="1:4" x14ac:dyDescent="0.55000000000000004">
      <c r="A14" t="s">
        <v>25</v>
      </c>
      <c r="B14" s="2">
        <v>4750</v>
      </c>
      <c r="C14" t="s">
        <v>26</v>
      </c>
      <c r="D14" t="s">
        <v>27</v>
      </c>
    </row>
    <row r="15" spans="1:4" x14ac:dyDescent="0.55000000000000004">
      <c r="A15" t="s">
        <v>28</v>
      </c>
      <c r="B15" s="2">
        <v>20000</v>
      </c>
      <c r="C15" t="s">
        <v>29</v>
      </c>
    </row>
    <row r="16" spans="1:4" x14ac:dyDescent="0.55000000000000004">
      <c r="A16" t="s">
        <v>30</v>
      </c>
      <c r="B16" s="2">
        <v>60</v>
      </c>
      <c r="C16" t="s">
        <v>5</v>
      </c>
    </row>
    <row r="17" spans="1:4" x14ac:dyDescent="0.55000000000000004">
      <c r="A17" t="s">
        <v>31</v>
      </c>
      <c r="B17" s="2">
        <v>3</v>
      </c>
      <c r="C17" t="s">
        <v>20</v>
      </c>
    </row>
    <row r="18" spans="1:4" x14ac:dyDescent="0.55000000000000004">
      <c r="A18" t="s">
        <v>32</v>
      </c>
      <c r="B18" s="2">
        <v>1000</v>
      </c>
      <c r="C18" t="s">
        <v>33</v>
      </c>
      <c r="D18" t="s">
        <v>34</v>
      </c>
    </row>
    <row r="19" spans="1:4" x14ac:dyDescent="0.55000000000000004">
      <c r="A19" t="s">
        <v>35</v>
      </c>
      <c r="B19" s="2">
        <f>141*10^-7</f>
        <v>1.4099999999999999E-5</v>
      </c>
      <c r="C19" t="s">
        <v>36</v>
      </c>
      <c r="D19" t="s">
        <v>37</v>
      </c>
    </row>
    <row r="20" spans="1:4" x14ac:dyDescent="0.55000000000000004">
      <c r="A20" t="s">
        <v>38</v>
      </c>
      <c r="C20" t="s">
        <v>39</v>
      </c>
    </row>
    <row r="22" spans="1:4" x14ac:dyDescent="0.55000000000000004">
      <c r="A22" s="9" t="s">
        <v>71</v>
      </c>
    </row>
    <row r="23" spans="1:4" ht="28.8" x14ac:dyDescent="0.55000000000000004">
      <c r="A23" s="6" t="s">
        <v>40</v>
      </c>
      <c r="B23">
        <f>IF(NOT(ISBLANK(B5)), "--", 60/(2*PI()*B6))</f>
        <v>9.0945681766797334E-2</v>
      </c>
      <c r="D23" s="5" t="s">
        <v>87</v>
      </c>
    </row>
    <row r="24" spans="1:4" ht="28.8" x14ac:dyDescent="0.55000000000000004">
      <c r="A24" s="6" t="s">
        <v>41</v>
      </c>
      <c r="B24">
        <f>IF(NOT(ISBLANK(B5)), B5, B23)</f>
        <v>9.0945681766797334E-2</v>
      </c>
      <c r="D24" s="5" t="s">
        <v>89</v>
      </c>
    </row>
    <row r="25" spans="1:4" ht="28.8" x14ac:dyDescent="0.55000000000000004">
      <c r="A25" s="6" t="s">
        <v>42</v>
      </c>
      <c r="B25">
        <f>B8/B7</f>
        <v>1.2909836065573771E-3</v>
      </c>
      <c r="D25" s="5" t="s">
        <v>91</v>
      </c>
    </row>
    <row r="26" spans="1:4" x14ac:dyDescent="0.55000000000000004">
      <c r="A26" s="6" t="s">
        <v>43</v>
      </c>
      <c r="B26">
        <f>1/(2*PI()*B25)*10</f>
        <v>1232.8192417276973</v>
      </c>
      <c r="D26" s="5" t="s">
        <v>93</v>
      </c>
    </row>
    <row r="27" spans="1:4" x14ac:dyDescent="0.55000000000000004">
      <c r="A27" s="6"/>
      <c r="D27" s="5"/>
    </row>
    <row r="28" spans="1:4" x14ac:dyDescent="0.55000000000000004">
      <c r="A28" s="9" t="s">
        <v>72</v>
      </c>
      <c r="D28" s="5"/>
    </row>
    <row r="29" spans="1:4" x14ac:dyDescent="0.55000000000000004">
      <c r="A29" s="6" t="s">
        <v>44</v>
      </c>
      <c r="B29">
        <f>B12/B24</f>
        <v>54.977871437821385</v>
      </c>
      <c r="D29" s="7" t="s">
        <v>95</v>
      </c>
    </row>
    <row r="30" spans="1:4" x14ac:dyDescent="0.55000000000000004">
      <c r="A30" s="6" t="s">
        <v>45</v>
      </c>
      <c r="B30">
        <f>B13/B24</f>
        <v>87.964594300514207</v>
      </c>
      <c r="D30" s="5" t="s">
        <v>97</v>
      </c>
    </row>
    <row r="31" spans="1:4" x14ac:dyDescent="0.55000000000000004">
      <c r="A31" s="6" t="s">
        <v>46</v>
      </c>
      <c r="B31" t="str">
        <f>IF(B29&lt;=B10, "PASS", "CHECK")</f>
        <v>CHECK</v>
      </c>
      <c r="D31" s="5"/>
    </row>
    <row r="32" spans="1:4" x14ac:dyDescent="0.55000000000000004">
      <c r="A32" s="6" t="s">
        <v>47</v>
      </c>
      <c r="B32" t="str">
        <f>IF(B30&lt;=B11, "PASS", "CHECK")</f>
        <v>PASS</v>
      </c>
      <c r="D32" s="5"/>
    </row>
    <row r="33" spans="1:4" x14ac:dyDescent="0.55000000000000004">
      <c r="A33" s="6"/>
      <c r="D33" s="5"/>
    </row>
    <row r="34" spans="1:4" x14ac:dyDescent="0.55000000000000004">
      <c r="A34" s="9" t="s">
        <v>73</v>
      </c>
      <c r="D34" s="5"/>
    </row>
    <row r="35" spans="1:4" x14ac:dyDescent="0.55000000000000004">
      <c r="A35" s="8" t="s">
        <v>48</v>
      </c>
      <c r="B35">
        <f>1.5*B29^2*B7</f>
        <v>1106.2592833071035</v>
      </c>
      <c r="D35" s="7" t="s">
        <v>100</v>
      </c>
    </row>
    <row r="36" spans="1:4" x14ac:dyDescent="0.55000000000000004">
      <c r="A36" s="6" t="s">
        <v>49</v>
      </c>
      <c r="B36">
        <f>1.5*B30^2*B7</f>
        <v>2832.0237652661849</v>
      </c>
      <c r="D36" s="5" t="s">
        <v>101</v>
      </c>
    </row>
    <row r="37" spans="1:4" ht="28.8" x14ac:dyDescent="0.55000000000000004">
      <c r="A37" s="6" t="s">
        <v>50</v>
      </c>
      <c r="B37">
        <f>B35/B4</f>
        <v>23.047068402231321</v>
      </c>
      <c r="D37" s="5" t="s">
        <v>103</v>
      </c>
    </row>
    <row r="38" spans="1:4" x14ac:dyDescent="0.55000000000000004">
      <c r="A38" s="6"/>
      <c r="D38" s="5"/>
    </row>
    <row r="39" spans="1:4" x14ac:dyDescent="0.55000000000000004">
      <c r="A39" s="9" t="s">
        <v>74</v>
      </c>
      <c r="D39" s="5"/>
    </row>
    <row r="40" spans="1:4" x14ac:dyDescent="0.55000000000000004">
      <c r="A40" s="6" t="s">
        <v>51</v>
      </c>
      <c r="B40">
        <f>B4/(2*B8*B15)</f>
        <v>3.8095238095238098</v>
      </c>
      <c r="D40" s="5" t="s">
        <v>105</v>
      </c>
    </row>
    <row r="41" spans="1:4" x14ac:dyDescent="0.55000000000000004">
      <c r="A41" s="6" t="s">
        <v>52</v>
      </c>
      <c r="B41">
        <f>IF(B29&gt;0, B40/B29, "-")</f>
        <v>6.9291948012797963E-2</v>
      </c>
      <c r="D41" s="5"/>
    </row>
    <row r="42" spans="1:4" x14ac:dyDescent="0.55000000000000004">
      <c r="A42" s="6" t="s">
        <v>53</v>
      </c>
      <c r="B42" t="str">
        <f>IF(AND(ISNUMBER(B41), B41&lt;=0.2), "OK", "Consider higher L or f_sw")</f>
        <v>OK</v>
      </c>
      <c r="D42" s="5"/>
    </row>
    <row r="43" spans="1:4" x14ac:dyDescent="0.55000000000000004">
      <c r="A43" s="6"/>
      <c r="D43" s="5"/>
    </row>
    <row r="44" spans="1:4" x14ac:dyDescent="0.55000000000000004">
      <c r="A44" s="9" t="s">
        <v>75</v>
      </c>
      <c r="D44" s="5"/>
    </row>
    <row r="45" spans="1:4" ht="28.8" x14ac:dyDescent="0.55000000000000004">
      <c r="A45" s="6" t="s">
        <v>54</v>
      </c>
      <c r="B45">
        <f>B14/B6</f>
        <v>45.238095238095241</v>
      </c>
      <c r="D45" s="7" t="s">
        <v>107</v>
      </c>
    </row>
    <row r="46" spans="1:4" x14ac:dyDescent="0.55000000000000004">
      <c r="A46" s="6" t="s">
        <v>55</v>
      </c>
      <c r="B46">
        <f>B45 + B29*B7</f>
        <v>58.652695868923658</v>
      </c>
      <c r="D46" s="7" t="s">
        <v>109</v>
      </c>
    </row>
    <row r="47" spans="1:4" x14ac:dyDescent="0.55000000000000004">
      <c r="A47" s="6" t="s">
        <v>56</v>
      </c>
      <c r="B47">
        <f>B4-B46</f>
        <v>-10.652695868923658</v>
      </c>
      <c r="D47" s="5" t="s">
        <v>110</v>
      </c>
    </row>
    <row r="48" spans="1:4" x14ac:dyDescent="0.55000000000000004">
      <c r="A48" s="6" t="s">
        <v>57</v>
      </c>
      <c r="B48">
        <f>IF(B17&gt;0, (B16-B4)/B17, "-")</f>
        <v>4</v>
      </c>
      <c r="D48" s="6" t="s">
        <v>112</v>
      </c>
    </row>
    <row r="49" spans="1:4" x14ac:dyDescent="0.55000000000000004">
      <c r="A49" s="6" t="s">
        <v>58</v>
      </c>
      <c r="B49">
        <f>IF(B48&gt;0, B16^2/B48, "-")</f>
        <v>900</v>
      </c>
      <c r="D49" s="6" t="s">
        <v>114</v>
      </c>
    </row>
    <row r="50" spans="1:4" x14ac:dyDescent="0.55000000000000004">
      <c r="A50" s="6" t="s">
        <v>59</v>
      </c>
      <c r="B50">
        <f>0.5*B19*(2*PI()*(B14/60))^2</f>
        <v>1.7443497695133661</v>
      </c>
      <c r="D50" s="5" t="s">
        <v>116</v>
      </c>
    </row>
    <row r="51" spans="1:4" x14ac:dyDescent="0.55000000000000004">
      <c r="A51" s="6" t="s">
        <v>60</v>
      </c>
      <c r="B51">
        <f>SQRT(B4^2 + 2*B50/(B18/1000000))</f>
        <v>76.109786092372715</v>
      </c>
      <c r="D51" s="8" t="s">
        <v>122</v>
      </c>
    </row>
  </sheetData>
  <conditionalFormatting sqref="B31">
    <cfRule type="cellIs" dxfId="3" priority="1" operator="equal">
      <formula>"PASS"</formula>
    </cfRule>
    <cfRule type="cellIs" dxfId="2" priority="2" operator="notEqual">
      <formula>"PASS"</formula>
    </cfRule>
  </conditionalFormatting>
  <conditionalFormatting sqref="B32">
    <cfRule type="cellIs" dxfId="1" priority="3" operator="equal">
      <formula>"PASS"</formula>
    </cfRule>
    <cfRule type="cellIs" dxfId="0" priority="4" operator="notEqual">
      <formula>"PASS"</formula>
    </cfRule>
  </conditionalFormatting>
  <hyperlinks>
    <hyperlink ref="A1" r:id="rId1" display="https://www.maxongroup.com/maxon/view/product/motor/ecmotor/EC-i/516068?utm_source=chatgp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Template</vt:lpstr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carine</dc:creator>
  <cp:lastModifiedBy>Carine Rabbath</cp:lastModifiedBy>
  <dcterms:created xsi:type="dcterms:W3CDTF">2025-11-06T22:28:34Z</dcterms:created>
  <dcterms:modified xsi:type="dcterms:W3CDTF">2025-11-12T00:33:38Z</dcterms:modified>
</cp:coreProperties>
</file>